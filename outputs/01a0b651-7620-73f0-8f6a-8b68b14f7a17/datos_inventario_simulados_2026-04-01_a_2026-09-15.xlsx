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4455d7199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inventario" sheetId="1" r:id="R81eb512cc104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73F5F"/>
      <x:name val="Arial"/>
    </x:font>
    <x:font>
      <x:b/>
      <x:sz val="10"/>
      <x:color rgb="FF7F6000"/>
      <x:name val="Arial"/>
    </x:font>
    <x:font>
      <x:i/>
      <x:sz val="10"/>
      <x:color rgb="FF173F5F"/>
      <x:name val="Arial"/>
    </x:font>
    <x:font>
      <x:b/>
      <x:sz val="10"/>
      <x:color rgb="FFFFFFFF"/>
      <x:name val="Arial"/>
    </x:font>
    <x:font>
      <x:sz val="10"/>
      <x:color rgb="FF9C000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245580"/>
      </x:patternFill>
    </x:fill>
    <x:fill>
      <x:patternFill patternType="solid">
        <x:fgColor rgb="FFBF9000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37c9986b443cf" /><Relationship Type="http://schemas.openxmlformats.org/officeDocument/2006/relationships/theme" Target="/xl/theme/theme1.xml" Id="Rf9f8801eb6744e51" /><Relationship Type="http://schemas.openxmlformats.org/officeDocument/2006/relationships/sharedStrings" Target="/xl/sharedStrings.xml" Id="Rc80503cc8cda4940" /><Relationship Type="http://schemas.openxmlformats.org/officeDocument/2006/relationships/worksheet" Target="/xl/worksheets/sheet1.xml" Id="R81eb512cc10448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21" hidden="0" customWidth="1"/>
    <x:col min="5" max="5" width="20" hidden="0" customWidth="1"/>
    <x:col min="6" max="6" width="16" hidden="0" customWidth="1"/>
    <x:col min="7" max="7" width="21" hidden="0" customWidth="1"/>
    <x:col min="8" max="8" width="24" hidden="0" customWidth="1"/>
    <x:col min="9" max="9" width="22" hidden="0" customWidth="1"/>
    <x:col min="10" max="10" width="24" hidden="0" customWidth="1"/>
    <x:col min="11" max="11" width="2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Datos de inventario simulados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6" t="str">
        <x:v>SIMULACIÓN PARA PRUEBA. SI, EN, SF y DQS no son datos reales de la tienda. No usar como resultado real de la tesis.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4" customHeight="1">
      <x:c r="A4" s="9" t="str">
        <x:v>Ventas CD y días DD: historial consolidado real del 01/04/2026 al 15/09/2026. Stock final SF se calcula como SI + EN - CD.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6" customHeight="1">
      <x:c r="A6" s="14" t="str">
        <x:v>Periodo inicio</x:v>
      </x:c>
      <x:c r="B6" s="14" t="str">
        <x:v>Periodo fin</x:v>
      </x:c>
      <x:c r="C6" s="14" t="str">
        <x:v>Categoría</x:v>
      </x:c>
      <x:c r="D6" s="19" t="str">
        <x:v>Stock inicial SI simulado</x:v>
      </x:c>
      <x:c r="E6" s="19" t="str">
        <x:v>Entradas EN simuladas</x:v>
      </x:c>
      <x:c r="F6" s="14" t="str">
        <x:v>Ventas CD reales</x:v>
      </x:c>
      <x:c r="G6" s="14" t="str">
        <x:v>Stock final SF calculado</x:v>
      </x:c>
      <x:c r="H6" s="19" t="str">
        <x:v>Días sin stock DQS simulados</x:v>
      </x:c>
      <x:c r="I6" s="14" t="str">
        <x:v>Días observados DD reales</x:v>
      </x:c>
      <x:c r="J6" s="14" t="str">
        <x:v>Origen de ventas y días</x:v>
      </x:c>
      <x:c r="K6" s="14" t="str">
        <x:v>Origen de inventario</x:v>
      </x:c>
    </x:row>
    <x:row r="7" ht="26" customHeight="1">
      <x:c r="A7" s="16" t="n">
        <x:v>46113</x:v>
      </x:c>
      <x:c r="B7" s="16" t="n">
        <x:v>46280</x:v>
      </x:c>
      <x:c r="C7" s="15" t="str">
        <x:v>ABARROTES</x:v>
      </x:c>
      <x:c r="D7" s="18" t="n">
        <x:v>6800</x:v>
      </x:c>
      <x:c r="E7" s="18" t="n">
        <x:v>4700</x:v>
      </x:c>
      <x:c r="F7" s="17" t="n">
        <x:v>8577</x:v>
      </x:c>
      <x:c r="G7" s="17" t="n">
        <x:f>D7+E7-F7</x:f>
        <x:v>2923</x:v>
      </x:c>
      <x:c r="H7" s="18" t="n">
        <x:v>2</x:v>
      </x:c>
      <x:c r="I7" s="17" t="n">
        <x:v>168</x:v>
      </x:c>
      <x:c r="J7" s="15" t="str">
        <x:v>Historial de ventas real</x:v>
      </x:c>
      <x:c r="K7" s="15" t="str">
        <x:v>Simulado para demostración</x:v>
      </x:c>
    </x:row>
    <x:row r="8" ht="26" customHeight="1">
      <x:c r="A8" s="16" t="n">
        <x:v>46113</x:v>
      </x:c>
      <x:c r="B8" s="16" t="n">
        <x:v>46280</x:v>
      </x:c>
      <x:c r="C8" s="15" t="str">
        <x:v>BEBIDAS</x:v>
      </x:c>
      <x:c r="D8" s="18" t="n">
        <x:v>11400</x:v>
      </x:c>
      <x:c r="E8" s="18" t="n">
        <x:v>8200</x:v>
      </x:c>
      <x:c r="F8" s="17" t="n">
        <x:v>15046</x:v>
      </x:c>
      <x:c r="G8" s="17" t="n">
        <x:f>D8+E8-F8</x:f>
        <x:v>4554</x:v>
      </x:c>
      <x:c r="H8" s="18" t="n">
        <x:v>1</x:v>
      </x:c>
      <x:c r="I8" s="17" t="n">
        <x:v>168</x:v>
      </x:c>
      <x:c r="J8" s="15" t="str">
        <x:v>Historial de ventas real</x:v>
      </x:c>
      <x:c r="K8" s="15" t="str">
        <x:v>Simulado para demostración</x:v>
      </x:c>
    </x:row>
    <x:row r="9" ht="26" customHeight="1">
      <x:c r="A9" s="16" t="n">
        <x:v>46113</x:v>
      </x:c>
      <x:c r="B9" s="16" t="n">
        <x:v>46280</x:v>
      </x:c>
      <x:c r="C9" s="15" t="str">
        <x:v>GOLOSINAS</x:v>
      </x:c>
      <x:c r="D9" s="18" t="n">
        <x:v>9500</x:v>
      </x:c>
      <x:c r="E9" s="18" t="n">
        <x:v>7000</x:v>
      </x:c>
      <x:c r="F9" s="17" t="n">
        <x:v>12498</x:v>
      </x:c>
      <x:c r="G9" s="17" t="n">
        <x:f>D9+E9-F9</x:f>
        <x:v>4002</x:v>
      </x:c>
      <x:c r="H9" s="18" t="n">
        <x:v>3</x:v>
      </x:c>
      <x:c r="I9" s="17" t="n">
        <x:v>168</x:v>
      </x:c>
      <x:c r="J9" s="15" t="str">
        <x:v>Historial de ventas real</x:v>
      </x:c>
      <x:c r="K9" s="15" t="str">
        <x:v>Simulado para demostración</x:v>
      </x:c>
    </x:row>
    <x:row r="10" ht="26" customHeight="1">
      <x:c r="A10" s="16" t="n">
        <x:v>46113</x:v>
      </x:c>
      <x:c r="B10" s="16" t="n">
        <x:v>46280</x:v>
      </x:c>
      <x:c r="C10" s="15" t="str">
        <x:v>HELADOS</x:v>
      </x:c>
      <x:c r="D10" s="18" t="n">
        <x:v>3100</x:v>
      </x:c>
      <x:c r="E10" s="18" t="n">
        <x:v>2600</x:v>
      </x:c>
      <x:c r="F10" s="17" t="n">
        <x:v>4200</x:v>
      </x:c>
      <x:c r="G10" s="17" t="n">
        <x:f>D10+E10-F10</x:f>
        <x:v>1500</x:v>
      </x:c>
      <x:c r="H10" s="18" t="n">
        <x:v>5</x:v>
      </x:c>
      <x:c r="I10" s="17" t="n">
        <x:v>168</x:v>
      </x:c>
      <x:c r="J10" s="15" t="str">
        <x:v>Historial de ventas real</x:v>
      </x:c>
      <x:c r="K10" s="15" t="str">
        <x:v>Simulado para demostración</x:v>
      </x:c>
    </x:row>
    <x:row r="11" ht="26" customHeight="1">
      <x:c r="A11" s="16" t="n">
        <x:v>46113</x:v>
      </x:c>
      <x:c r="B11" s="16" t="n">
        <x:v>46280</x:v>
      </x:c>
      <x:c r="C11" s="15" t="str">
        <x:v>LIMPIEZA</x:v>
      </x:c>
      <x:c r="D11" s="18" t="n">
        <x:v>2200</x:v>
      </x:c>
      <x:c r="E11" s="18" t="n">
        <x:v>1700</x:v>
      </x:c>
      <x:c r="F11" s="17" t="n">
        <x:v>2784</x:v>
      </x:c>
      <x:c r="G11" s="17" t="n">
        <x:f>D11+E11-F11</x:f>
        <x:v>1116</x:v>
      </x:c>
      <x:c r="H11" s="18" t="n">
        <x:v>2</x:v>
      </x:c>
      <x:c r="I11" s="17" t="n">
        <x:v>168</x:v>
      </x:c>
      <x:c r="J11" s="15" t="str">
        <x:v>Historial de ventas real</x:v>
      </x:c>
      <x:c r="K11" s="15" t="str">
        <x:v>Simulado para demostración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2" customHeight="1">
      <x:c r="A14" s="22" t="str">
        <x:v>Uso de los campos: ISI = CD / (SI + EN). TQS = DQS / DD. Este archivo contiene los campos que faltaban para realizar ambos cálculos, pero sus valores de inventario son simulados.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 ht="22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</x:sheetData>
  <x:mergeCells>
    <x:mergeCell ref="A3:K3"/>
    <x:mergeCell ref="A4:K4"/>
    <x:mergeCell ref="A14:K15"/>
  </x:mergeCells>
  <x:pageMargins left="0.7" right="0.7" top="0.75" bottom="0.75" header="0.3" footer="0.3"/>
</x:worksheet>
</file>