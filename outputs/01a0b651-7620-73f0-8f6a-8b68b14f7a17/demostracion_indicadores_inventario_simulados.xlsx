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9f609eb03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 demo" sheetId="1" r:id="Rf74ceb894d3441b6"/>
    <x:sheet xmlns:r="http://schemas.openxmlformats.org/officeDocument/2006/relationships" name="Datos simulados" sheetId="2" r:id="R527017a966d4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9">
    <x:font>
      <x:sz val="11"/>
      <x:name val="Carlito"/>
    </x:font>
    <x:font>
      <x:sz val="10"/>
      <x:color rgb="FF1F2937"/>
      <x:name val="Arial"/>
    </x:font>
    <x:font>
      <x:b/>
      <x:sz val="16"/>
      <x:color rgb="FF173F5F"/>
      <x:name val="Arial"/>
    </x:font>
    <x:font>
      <x:b/>
      <x:sz val="10"/>
      <x:color rgb="FF7F6000"/>
      <x:name val="Arial"/>
    </x:font>
    <x:font>
      <x:b/>
      <x:sz val="10"/>
      <x:color rgb="FF173F5F"/>
      <x:name val="Arial"/>
    </x:font>
    <x:font>
      <x:b/>
      <x:sz val="10"/>
      <x:color rgb="FFFFFFFF"/>
      <x:name val="Arial"/>
    </x:font>
    <x:font>
      <x:b/>
      <x:sz val="11"/>
      <x:color rgb="FF173F5F"/>
      <x:name val="Arial"/>
    </x:font>
    <x:font>
      <x:sz val="10"/>
      <x:color rgb="FF9C0006"/>
      <x:name val="Arial"/>
    </x:font>
    <x:font>
      <x:b/>
      <x:sz val="14"/>
      <x:color rgb="FF173F5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245580"/>
      </x:patternFill>
    </x:fill>
    <x:fill>
      <x:patternFill patternType="solid">
        <x:fgColor rgb="FFFCE4D6"/>
      </x:patternFill>
    </x:fill>
    <x:fill>
      <x:patternFill patternType="solid">
        <x:fgColor rgb="FFBF9000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533501d2341c0" /><Relationship Type="http://schemas.openxmlformats.org/officeDocument/2006/relationships/theme" Target="/xl/theme/theme1.xml" Id="Rd522a47e7a2f45d1" /><Relationship Type="http://schemas.openxmlformats.org/officeDocument/2006/relationships/sharedStrings" Target="/xl/sharedStrings.xml" Id="R36ac42724e4748c0" /><Relationship Type="http://schemas.openxmlformats.org/officeDocument/2006/relationships/worksheet" Target="/xl/worksheets/sheet1.xml" Id="Rf74ceb894d3441b6" /><Relationship Type="http://schemas.openxmlformats.org/officeDocument/2006/relationships/worksheet" Target="/xl/worksheets/sheet2.xml" Id="R527017a966d4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6" hidden="0" customWidth="1"/>
    <x:col min="4" max="4" width="16" hidden="0" customWidth="1"/>
    <x:col min="5" max="5" width="15" hidden="0" customWidth="1"/>
    <x:col min="6" max="6" width="16" hidden="0" customWidth="1"/>
    <x:col min="7" max="7" width="14" hidden="0" customWidth="1"/>
    <x:col min="8" max="8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Demostración de indicadores de inventario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6" t="str">
        <x:v>SIMULACIÓN PARA DEMOSTRACIÓN. Los valores de stock, entradas y quiebres no son registros reales de la tienda.</x:v>
      </x:c>
      <x:c r="B3" s="6"/>
      <x:c r="C3" s="6"/>
      <x:c r="D3" s="6"/>
      <x:c r="E3" s="6"/>
      <x:c r="F3" s="6"/>
      <x:c r="G3" s="6"/>
      <x:c r="H3" s="6"/>
    </x:row>
    <x:row r="4">
      <x:c r="A4" s="2"/>
      <x:c r="B4" s="2"/>
      <x:c r="C4" s="2"/>
      <x:c r="D4" s="2"/>
      <x:c r="E4" s="2"/>
      <x:c r="F4" s="2"/>
      <x:c r="G4" s="2"/>
      <x:c r="H4" s="2"/>
    </x:row>
    <x:row r="5">
      <x:c r="A5" s="9" t="str">
        <x:v>Ventas reales de referencia</x:v>
      </x:c>
      <x:c r="B5" s="11" t="n">
        <x:f>SUM(B11:B15)</x:f>
        <x:v>43105</x:v>
      </x:c>
      <x:c r="C5" s="2"/>
      <x:c r="D5" s="2"/>
      <x:c r="E5" s="2"/>
      <x:c r="F5" s="2"/>
      <x:c r="G5" s="2"/>
      <x:c r="H5" s="2"/>
    </x:row>
    <x:row r="6">
      <x:c r="A6" s="9" t="str">
        <x:v>Índice de salida simulado</x:v>
      </x:c>
      <x:c r="B6" s="12" t="n">
        <x:f>SUM(B11:B15)/(SUM(C11:C15)+SUM(D11:D15))</x:f>
        <x:v>0.7535839160839161</x:v>
      </x:c>
      <x:c r="C6" s="2"/>
      <x:c r="D6" s="2"/>
      <x:c r="E6" s="2"/>
      <x:c r="F6" s="2"/>
      <x:c r="G6" s="2"/>
      <x:c r="H6" s="2"/>
    </x:row>
    <x:row r="7">
      <x:c r="A7" s="9" t="str">
        <x:v>Tasa de quiebre simulada</x:v>
      </x:c>
      <x:c r="B7" s="12" t="n">
        <x:f>SUM(F11:F15)/SUM(G11:G15)</x:f>
        <x:v>0.015476190476190477</x:v>
      </x:c>
      <x:c r="C7" s="2"/>
      <x:c r="D7" s="2"/>
      <x:c r="E7" s="2"/>
      <x:c r="F7" s="2"/>
      <x:c r="G7" s="2"/>
      <x:c r="H7" s="2"/>
    </x:row>
    <x:row r="8">
      <x:c r="A8" s="9" t="str">
        <x:v>Cobertura real</x:v>
      </x:c>
      <x:c r="B8" s="10" t="str">
        <x:v>5 categorías y 168 días</x:v>
      </x:c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 ht="23" customHeight="1">
      <x:c r="A10" s="17" t="str">
        <x:v>Categoría</x:v>
      </x:c>
      <x:c r="B10" s="17" t="str">
        <x:v>CD ventas reales</x:v>
      </x:c>
      <x:c r="C10" s="17" t="str">
        <x:v>SI simulado</x:v>
      </x:c>
      <x:c r="D10" s="17" t="str">
        <x:v>EN simulado</x:v>
      </x:c>
      <x:c r="E10" s="17" t="str">
        <x:v>ISI simulado</x:v>
      </x:c>
      <x:c r="F10" s="17" t="str">
        <x:v>DQS simulado</x:v>
      </x:c>
      <x:c r="G10" s="17" t="str">
        <x:v>DD real</x:v>
      </x:c>
      <x:c r="H10" s="17" t="str">
        <x:v>TQS simulada</x:v>
      </x:c>
    </x:row>
    <x:row r="11" ht="23" customHeight="1">
      <x:c r="A11" s="10" t="str">
        <x:f>'Datos simulados'!A6</x:f>
        <x:v>ABARROTES</x:v>
      </x:c>
      <x:c r="B11" s="18" t="n">
        <x:f>'Datos simulados'!B6</x:f>
        <x:v>8577</x:v>
      </x:c>
      <x:c r="C11" s="18" t="n">
        <x:f>'Datos simulados'!D6</x:f>
        <x:v>6800</x:v>
      </x:c>
      <x:c r="D11" s="18" t="n">
        <x:f>'Datos simulados'!E6</x:f>
        <x:v>4700</x:v>
      </x:c>
      <x:c r="E11" s="19" t="n">
        <x:f>B11/(C11+D11)</x:f>
        <x:v>0.7458260869565217</x:v>
      </x:c>
      <x:c r="F11" s="18" t="n">
        <x:f>'Datos simulados'!F6</x:f>
        <x:v>2</x:v>
      </x:c>
      <x:c r="G11" s="18" t="n">
        <x:f>'Datos simulados'!C6</x:f>
        <x:v>168</x:v>
      </x:c>
      <x:c r="H11" s="19" t="n">
        <x:f>F11/G11</x:f>
        <x:v>0.011904761904761904</x:v>
      </x:c>
    </x:row>
    <x:row r="12" ht="23" customHeight="1">
      <x:c r="A12" s="10" t="str">
        <x:f>'Datos simulados'!A7</x:f>
        <x:v>BEBIDAS</x:v>
      </x:c>
      <x:c r="B12" s="18" t="n">
        <x:f>'Datos simulados'!B7</x:f>
        <x:v>15046</x:v>
      </x:c>
      <x:c r="C12" s="18" t="n">
        <x:f>'Datos simulados'!D7</x:f>
        <x:v>11400</x:v>
      </x:c>
      <x:c r="D12" s="18" t="n">
        <x:f>'Datos simulados'!E7</x:f>
        <x:v>8200</x:v>
      </x:c>
      <x:c r="E12" s="19" t="n">
        <x:f>B12/(C12+D12)</x:f>
        <x:v>0.7676530612244898</x:v>
      </x:c>
      <x:c r="F12" s="18" t="n">
        <x:f>'Datos simulados'!F7</x:f>
        <x:v>1</x:v>
      </x:c>
      <x:c r="G12" s="18" t="n">
        <x:f>'Datos simulados'!C7</x:f>
        <x:v>168</x:v>
      </x:c>
      <x:c r="H12" s="19" t="n">
        <x:f>F12/G12</x:f>
        <x:v>0.005952380952380952</x:v>
      </x:c>
    </x:row>
    <x:row r="13" ht="23" customHeight="1">
      <x:c r="A13" s="10" t="str">
        <x:f>'Datos simulados'!A8</x:f>
        <x:v>GOLOSINAS</x:v>
      </x:c>
      <x:c r="B13" s="18" t="n">
        <x:f>'Datos simulados'!B8</x:f>
        <x:v>12498</x:v>
      </x:c>
      <x:c r="C13" s="18" t="n">
        <x:f>'Datos simulados'!D8</x:f>
        <x:v>9500</x:v>
      </x:c>
      <x:c r="D13" s="18" t="n">
        <x:f>'Datos simulados'!E8</x:f>
        <x:v>7000</x:v>
      </x:c>
      <x:c r="E13" s="19" t="n">
        <x:f>B13/(C13+D13)</x:f>
        <x:v>0.7574545454545455</x:v>
      </x:c>
      <x:c r="F13" s="18" t="n">
        <x:f>'Datos simulados'!F8</x:f>
        <x:v>3</x:v>
      </x:c>
      <x:c r="G13" s="18" t="n">
        <x:f>'Datos simulados'!C8</x:f>
        <x:v>168</x:v>
      </x:c>
      <x:c r="H13" s="19" t="n">
        <x:f>F13/G13</x:f>
        <x:v>0.017857142857142856</x:v>
      </x:c>
    </x:row>
    <x:row r="14" ht="23" customHeight="1">
      <x:c r="A14" s="10" t="str">
        <x:f>'Datos simulados'!A9</x:f>
        <x:v>HELADOS</x:v>
      </x:c>
      <x:c r="B14" s="18" t="n">
        <x:f>'Datos simulados'!B9</x:f>
        <x:v>4200</x:v>
      </x:c>
      <x:c r="C14" s="18" t="n">
        <x:f>'Datos simulados'!D9</x:f>
        <x:v>3100</x:v>
      </x:c>
      <x:c r="D14" s="18" t="n">
        <x:f>'Datos simulados'!E9</x:f>
        <x:v>2600</x:v>
      </x:c>
      <x:c r="E14" s="19" t="n">
        <x:f>B14/(C14+D14)</x:f>
        <x:v>0.7368421052631579</x:v>
      </x:c>
      <x:c r="F14" s="18" t="n">
        <x:f>'Datos simulados'!F9</x:f>
        <x:v>5</x:v>
      </x:c>
      <x:c r="G14" s="18" t="n">
        <x:f>'Datos simulados'!C9</x:f>
        <x:v>168</x:v>
      </x:c>
      <x:c r="H14" s="19" t="n">
        <x:f>F14/G14</x:f>
        <x:v>0.02976190476190476</x:v>
      </x:c>
    </x:row>
    <x:row r="15" ht="23" customHeight="1">
      <x:c r="A15" s="10" t="str">
        <x:f>'Datos simulados'!A10</x:f>
        <x:v>LIMPIEZA</x:v>
      </x:c>
      <x:c r="B15" s="18" t="n">
        <x:f>'Datos simulados'!B10</x:f>
        <x:v>2784</x:v>
      </x:c>
      <x:c r="C15" s="18" t="n">
        <x:f>'Datos simulados'!D10</x:f>
        <x:v>2200</x:v>
      </x:c>
      <x:c r="D15" s="18" t="n">
        <x:f>'Datos simulados'!E10</x:f>
        <x:v>1700</x:v>
      </x:c>
      <x:c r="E15" s="19" t="n">
        <x:f>B15/(C15+D15)</x:f>
        <x:v>0.7138461538461538</x:v>
      </x:c>
      <x:c r="F15" s="18" t="n">
        <x:f>'Datos simulados'!F10</x:f>
        <x:v>2</x:v>
      </x:c>
      <x:c r="G15" s="18" t="n">
        <x:f>'Datos simulados'!C10</x:f>
        <x:v>168</x:v>
      </x:c>
      <x:c r="H15" s="19" t="n">
        <x:f>F15/G15</x:f>
        <x:v>0.011904761904761904</x:v>
      </x:c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0" t="str">
        <x:v>Cómo se calcula</x:v>
      </x:c>
      <x:c r="B18" s="2"/>
      <x:c r="C18" s="2"/>
      <x:c r="D18" s="2"/>
      <x:c r="E18" s="2"/>
      <x:c r="F18" s="2"/>
      <x:c r="G18" s="2"/>
      <x:c r="H18" s="2"/>
    </x:row>
    <x:row r="19" ht="22" customHeight="1">
      <x:c r="A19" s="23" t="str">
        <x:v>ISI = CD / (SI + EN). TQS = DQS / DD. CD y DD provienen del historial de ventas real; SI, EN y DQS son solo valores simulados para mostrar el cálculo.</x:v>
      </x:c>
      <x:c r="B19" s="23"/>
      <x:c r="C19" s="23"/>
      <x:c r="D19" s="23"/>
      <x:c r="E19" s="23"/>
      <x:c r="F19" s="23"/>
      <x:c r="G19" s="23"/>
      <x:c r="H19" s="23"/>
    </x:row>
    <x:row r="20" ht="22" customHeight="1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A3:H3"/>
    <x:mergeCell ref="A19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20" hidden="0" customWidth="1"/>
    <x:col min="5" max="5" width="18" hidden="0" customWidth="1"/>
    <x:col min="6" max="6" width="22" hidden="0" customWidth="1"/>
    <x:col min="7" max="7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24" t="str">
        <x:v>Datos de referencia y valores simulados</x:v>
      </x:c>
      <x:c r="B2" s="2"/>
      <x:c r="C2" s="2"/>
      <x:c r="D2" s="2"/>
      <x:c r="E2" s="2"/>
      <x:c r="F2" s="2"/>
      <x:c r="G2" s="2"/>
      <x:c r="H2" s="2"/>
    </x:row>
    <x:row r="3" ht="30" customHeight="1">
      <x:c r="A3" s="6" t="str">
        <x:v>Las ventas y los días son datos reales del historial. Las columnas de inventario son simuladas y únicamente sirven para probar las fórmulas.</x:v>
      </x:c>
      <x:c r="B3" s="6"/>
      <x:c r="C3" s="6"/>
      <x:c r="D3" s="6"/>
      <x:c r="E3" s="6"/>
      <x:c r="F3" s="6"/>
      <x:c r="G3" s="6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23" customHeight="1">
      <x:c r="A5" s="17" t="str">
        <x:v>Categoría</x:v>
      </x:c>
      <x:c r="B5" s="17" t="str">
        <x:v>Ventas históricas reales</x:v>
      </x:c>
      <x:c r="C5" s="17" t="str">
        <x:v>Días registrados reales</x:v>
      </x:c>
      <x:c r="D5" s="26" t="str">
        <x:v>Stock inicial simulado</x:v>
      </x:c>
      <x:c r="E5" s="26" t="str">
        <x:v>Entradas simuladas</x:v>
      </x:c>
      <x:c r="F5" s="26" t="str">
        <x:v>Días sin stock simulados</x:v>
      </x:c>
      <x:c r="G5" s="17" t="str">
        <x:v>Origen y alcance</x:v>
      </x:c>
      <x:c r="H5" s="2"/>
    </x:row>
    <x:row r="6" ht="23" customHeight="1">
      <x:c r="A6" s="10" t="str">
        <x:v>ABARROTES</x:v>
      </x:c>
      <x:c r="B6" s="11" t="n">
        <x:v>8577</x:v>
      </x:c>
      <x:c r="C6" s="11" t="n">
        <x:v>168</x:v>
      </x:c>
      <x:c r="D6" s="25" t="n">
        <x:v>6800</x:v>
      </x:c>
      <x:c r="E6" s="25" t="n">
        <x:v>4700</x:v>
      </x:c>
      <x:c r="F6" s="25" t="n">
        <x:v>2</x:v>
      </x:c>
      <x:c r="G6" s="10" t="str">
        <x:v>Ventas y días: historial real. Inventario: simulación.</x:v>
      </x:c>
      <x:c r="H6" s="2"/>
    </x:row>
    <x:row r="7" ht="23" customHeight="1">
      <x:c r="A7" s="10" t="str">
        <x:v>BEBIDAS</x:v>
      </x:c>
      <x:c r="B7" s="11" t="n">
        <x:v>15046</x:v>
      </x:c>
      <x:c r="C7" s="11" t="n">
        <x:v>168</x:v>
      </x:c>
      <x:c r="D7" s="25" t="n">
        <x:v>11400</x:v>
      </x:c>
      <x:c r="E7" s="25" t="n">
        <x:v>8200</x:v>
      </x:c>
      <x:c r="F7" s="25" t="n">
        <x:v>1</x:v>
      </x:c>
      <x:c r="G7" s="10" t="str">
        <x:v>Ventas y días: historial real. Inventario: simulación.</x:v>
      </x:c>
      <x:c r="H7" s="2"/>
    </x:row>
    <x:row r="8" ht="23" customHeight="1">
      <x:c r="A8" s="10" t="str">
        <x:v>GOLOSINAS</x:v>
      </x:c>
      <x:c r="B8" s="11" t="n">
        <x:v>12498</x:v>
      </x:c>
      <x:c r="C8" s="11" t="n">
        <x:v>168</x:v>
      </x:c>
      <x:c r="D8" s="25" t="n">
        <x:v>9500</x:v>
      </x:c>
      <x:c r="E8" s="25" t="n">
        <x:v>7000</x:v>
      </x:c>
      <x:c r="F8" s="25" t="n">
        <x:v>3</x:v>
      </x:c>
      <x:c r="G8" s="10" t="str">
        <x:v>Ventas y días: historial real. Inventario: simulación.</x:v>
      </x:c>
      <x:c r="H8" s="2"/>
    </x:row>
    <x:row r="9" ht="23" customHeight="1">
      <x:c r="A9" s="10" t="str">
        <x:v>HELADOS</x:v>
      </x:c>
      <x:c r="B9" s="11" t="n">
        <x:v>4200</x:v>
      </x:c>
      <x:c r="C9" s="11" t="n">
        <x:v>168</x:v>
      </x:c>
      <x:c r="D9" s="25" t="n">
        <x:v>3100</x:v>
      </x:c>
      <x:c r="E9" s="25" t="n">
        <x:v>2600</x:v>
      </x:c>
      <x:c r="F9" s="25" t="n">
        <x:v>5</x:v>
      </x:c>
      <x:c r="G9" s="10" t="str">
        <x:v>Ventas y días: historial real. Inventario: simulación.</x:v>
      </x:c>
      <x:c r="H9" s="2"/>
    </x:row>
    <x:row r="10" ht="23" customHeight="1">
      <x:c r="A10" s="10" t="str">
        <x:v>LIMPIEZA</x:v>
      </x:c>
      <x:c r="B10" s="11" t="n">
        <x:v>2784</x:v>
      </x:c>
      <x:c r="C10" s="11" t="n">
        <x:v>168</x:v>
      </x:c>
      <x:c r="D10" s="25" t="n">
        <x:v>2200</x:v>
      </x:c>
      <x:c r="E10" s="25" t="n">
        <x:v>1700</x:v>
      </x:c>
      <x:c r="F10" s="25" t="n">
        <x:v>2</x:v>
      </x:c>
      <x:c r="G10" s="10" t="str">
        <x:v>Ventas y días: historial real. Inventario: simulación.</x:v>
      </x:c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 ht="22" customHeight="1">
      <x:c r="A13" s="23" t="str">
        <x:v>Método de demostración: las ventas reales se tomaron del historial consolidado del 01/04/2026 al 15/09/2026. Los valores de inventario fueron elegidos solo para demostrar el funcionamiento de ISI y TQS.</x:v>
      </x:c>
      <x:c r="B13" s="23"/>
      <x:c r="C13" s="23"/>
      <x:c r="D13" s="23"/>
      <x:c r="E13" s="23"/>
      <x:c r="F13" s="23"/>
      <x:c r="G13" s="23"/>
      <x:c r="H13" s="2"/>
    </x:row>
    <x:row r="14" ht="22" customHeight="1">
      <x:c r="A14" s="23"/>
      <x:c r="B14" s="23"/>
      <x:c r="C14" s="23"/>
      <x:c r="D14" s="23"/>
      <x:c r="E14" s="23"/>
      <x:c r="F14" s="23"/>
      <x:c r="G14" s="23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A3:G3"/>
    <x:mergeCell ref="A13:G14"/>
  </x:mergeCells>
  <x:pageMargins left="0.7" right="0.7" top="0.75" bottom="0.75" header="0.3" footer="0.3"/>
</x:worksheet>
</file>