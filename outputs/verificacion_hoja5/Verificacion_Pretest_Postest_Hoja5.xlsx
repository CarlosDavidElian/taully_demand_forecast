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ee73acd04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 Hoja5" sheetId="1" r:id="R87695abffc524cdc"/>
    <x:sheet xmlns:r="http://schemas.openxmlformats.org/officeDocument/2006/relationships" name="Diario pretest" sheetId="2" r:id="R615294caddac4aa9"/>
    <x:sheet xmlns:r="http://schemas.openxmlformats.org/officeDocument/2006/relationships" name="Diario postest" sheetId="3" r:id="R6ecf3838eb03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#,##0.000000"/>
    <x:numFmt numFmtId="202" formatCode="0.00%"/>
    <x:numFmt numFmtId="203" formatCode="#,##0.00"/>
    <x:numFmt numFmtId="204" formatCode="0.00"/>
  </x:numFmts>
  <x:fonts count="6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6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6EEF5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3" borderId="0" xfId="0" applyNumberFormat="1" applyFont="1" applyFill="1" applyBorder="1"/>
    <x:xf numFmtId="203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5" fillId="3" borderId="0" xfId="0" applyNumberFormat="1" applyFont="1" applyFill="1" applyBorder="1"/>
    <x:xf numFmtId="203" fontId="5" fillId="3" borderId="0" xfId="0" applyNumberFormat="1" applyFont="1" applyFill="1" applyBorder="1"/>
    <x:xf numFmtId="202" fontId="5" fillId="3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1708d808a4b4e" /><Relationship Type="http://schemas.openxmlformats.org/officeDocument/2006/relationships/theme" Target="/xl/theme/theme1.xml" Id="R69436509f1884f0b" /><Relationship Type="http://schemas.openxmlformats.org/officeDocument/2006/relationships/sharedStrings" Target="/xl/sharedStrings.xml" Id="Rd58796217ecb4022" /><Relationship Type="http://schemas.openxmlformats.org/officeDocument/2006/relationships/worksheet" Target="/xl/worksheets/sheet1.xml" Id="R87695abffc524cdc" /><Relationship Type="http://schemas.openxmlformats.org/officeDocument/2006/relationships/worksheet" Target="/xl/worksheets/sheet2.xml" Id="R615294caddac4aa9" /><Relationship Type="http://schemas.openxmlformats.org/officeDocument/2006/relationships/worksheet" Target="/xl/worksheets/sheet3.xml" Id="R6ecf3838eb0347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2" customHeight="1">
      <x:c r="A1" s="9" t="str">
        <x:v>VERIFICACIÓN DEL PRETEST Y POSTEST — HOJA 5</x:v>
      </x:c>
      <x:c r="B1" s="1"/>
      <x:c r="C1" s="1"/>
      <x:c r="D1" s="1"/>
      <x:c r="E1" s="1"/>
      <x:c r="F1" s="1"/>
      <x:c r="G1" s="1"/>
      <x:c r="H1" s="1"/>
    </x:row>
    <x:row r="2" ht="32" customHeight="1">
      <x:c r="A2" s="10" t="str">
        <x:v>MAPE diario = promedio de los errores de cada día. Error mensual = error de los acumulados.</x:v>
      </x:c>
      <x:c r="B2" s="10"/>
      <x:c r="C2" s="10"/>
      <x:c r="D2" s="10"/>
      <x:c r="E2" s="10"/>
      <x:c r="F2" s="10"/>
      <x:c r="G2" s="10"/>
      <x:c r="H2" s="10"/>
    </x:row>
    <x:row r="3" ht="32" customHeight="1">
      <x:c r="A3" s="10" t="str">
        <x:v>Datos diarios conservados del proyecto; valores de referencia tomados de Libro1.xlsx, Hoja5.</x:v>
      </x:c>
      <x:c r="B3" s="10"/>
      <x:c r="C3" s="10"/>
      <x:c r="D3" s="10"/>
      <x:c r="E3" s="10"/>
      <x:c r="F3" s="10"/>
      <x:c r="G3" s="10"/>
      <x:c r="H3" s="10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23" customHeight="1">
      <x:c r="A5" s="11" t="str">
        <x:v>PRETEST · 18/07/2026 al 16/08/2026 · PMS-7</x:v>
      </x:c>
      <x:c r="B5" s="1"/>
      <x:c r="C5" s="1"/>
      <x:c r="D5" s="1"/>
      <x:c r="E5" s="1"/>
      <x:c r="F5" s="1"/>
      <x:c r="G5" s="1"/>
      <x:c r="H5" s="1"/>
    </x:row>
    <x:row r="6" ht="44" customHeight="1">
      <x:c r="A6" s="5" t="str">
        <x:v>Categoría</x:v>
      </x:c>
      <x:c r="B6" s="5" t="str">
        <x:v>DR acumulada</x:v>
      </x:c>
      <x:c r="C6" s="5" t="str">
        <x:v>DP acumulada</x:v>
      </x:c>
      <x:c r="D6" s="5" t="str">
        <x:v>MAPE diario calculado</x:v>
      </x:c>
      <x:c r="E6" s="5" t="str">
        <x:v>Error mensual acumulado</x:v>
      </x:c>
      <x:c r="F6" s="5" t="str">
        <x:v>MAPE original Hoja5</x:v>
      </x:c>
      <x:c r="G6" s="5" t="str">
        <x:v>Pares válidos</x:v>
      </x:c>
      <x:c r="H6" s="5" t="str">
        <x:v>Verificación Hoja5</x:v>
      </x:c>
    </x:row>
    <x:row r="7" ht="23" customHeight="1">
      <x:c r="A7" s="1" t="str">
        <x:v>ABARROTES</x:v>
      </x:c>
      <x:c r="B7" s="12" t="n">
        <x:f>SUM('Diario pretest'!C5:C34)</x:f>
        <x:v>1604</x:v>
      </x:c>
      <x:c r="C7" s="12" t="n">
        <x:f>SUM('Diario pretest'!D5:D34)</x:f>
        <x:v>1636.1783848802959</x:v>
      </x:c>
      <x:c r="D7" s="8" t="n">
        <x:f>AVERAGE('Diario pretest'!E5:E34)</x:f>
        <x:v>0.21204972745970604</x:v>
      </x:c>
      <x:c r="E7" s="8" t="n">
        <x:f>ABS((C7-B7)/B7)</x:f>
        <x:v>0.020061337207167008</x:v>
      </x:c>
      <x:c r="F7" s="8" t="n">
        <x:v>0.212</x:v>
      </x:c>
      <x:c r="G7" s="1" t="n">
        <x:f>COUNT('Diario pretest'!E5:E34)</x:f>
        <x:v>30</x:v>
      </x:c>
      <x:c r="H7" s="1" t="str">
        <x:f>IF(AND(ABS(B7-1604)&lt;0.005,ABS(C7-1636.18)&lt;0.005,ROUND(D7,4)=ROUND(F7,4)),"Coincide","Revisar")</x:f>
        <x:v>Coincide</x:v>
      </x:c>
    </x:row>
    <x:row r="8" ht="23" customHeight="1">
      <x:c r="A8" s="1" t="str">
        <x:v>BEBIDAS</x:v>
      </x:c>
      <x:c r="B8" s="12" t="n">
        <x:f>SUM('Diario pretest'!C35:C64)</x:f>
        <x:v>2799</x:v>
      </x:c>
      <x:c r="C8" s="12" t="n">
        <x:f>SUM('Diario pretest'!D35:D64)</x:f>
        <x:v>2598.750786151455</x:v>
      </x:c>
      <x:c r="D8" s="8" t="n">
        <x:f>AVERAGE('Diario pretest'!E35:E64)</x:f>
        <x:v>0.12619634443950026</x:v>
      </x:c>
      <x:c r="E8" s="8" t="n">
        <x:f>ABS((C8-B8)/B8)</x:f>
        <x:v>0.07154312749144158</x:v>
      </x:c>
      <x:c r="F8" s="8" t="n">
        <x:v>0.1262</x:v>
      </x:c>
      <x:c r="G8" s="1" t="n">
        <x:f>COUNT('Diario pretest'!E35:E64)</x:f>
        <x:v>30</x:v>
      </x:c>
      <x:c r="H8" s="1" t="str">
        <x:f>IF(AND(ABS(B8-2799)&lt;0.005,ABS(C8-2598.75)&lt;0.005,ROUND(D8,4)=ROUND(F8,4)),"Coincide","Revisar")</x:f>
        <x:v>Coincide</x:v>
      </x:c>
    </x:row>
    <x:row r="9" ht="23" customHeight="1">
      <x:c r="A9" s="1" t="str">
        <x:v>GOLOSINAS</x:v>
      </x:c>
      <x:c r="B9" s="12" t="n">
        <x:f>SUM('Diario pretest'!C65:C94)</x:f>
        <x:v>2218</x:v>
      </x:c>
      <x:c r="C9" s="12" t="n">
        <x:f>SUM('Diario pretest'!D65:D94)</x:f>
        <x:v>2204.677491030152</x:v>
      </x:c>
      <x:c r="D9" s="8" t="n">
        <x:f>AVERAGE('Diario pretest'!E65:E94)</x:f>
        <x:v>0.20497829721132407</x:v>
      </x:c>
      <x:c r="E9" s="8" t="n">
        <x:f>ABS((C9-B9)/B9)</x:f>
        <x:v>0.006006541465215536</x:v>
      </x:c>
      <x:c r="F9" s="8" t="n">
        <x:v>0.205</x:v>
      </x:c>
      <x:c r="G9" s="1" t="n">
        <x:f>COUNT('Diario pretest'!E65:E94)</x:f>
        <x:v>30</x:v>
      </x:c>
      <x:c r="H9" s="1" t="str">
        <x:f>IF(AND(ABS(B9-2218)&lt;0.005,ABS(C9-2204.68)&lt;0.005,ROUND(D9,4)=ROUND(F9,4)),"Coincide","Revisar")</x:f>
        <x:v>Coincide</x:v>
      </x:c>
    </x:row>
    <x:row r="10" ht="23" customHeight="1">
      <x:c r="A10" s="1" t="str">
        <x:v>HELADOS</x:v>
      </x:c>
      <x:c r="B10" s="12" t="n">
        <x:f>SUM('Diario pretest'!C95:C124)</x:f>
        <x:v>715</x:v>
      </x:c>
      <x:c r="C10" s="12" t="n">
        <x:f>SUM('Diario pretest'!D95:D124)</x:f>
        <x:v>795.2492698599798</x:v>
      </x:c>
      <x:c r="D10" s="8" t="n">
        <x:f>AVERAGE('Diario pretest'!E95:E124)</x:f>
        <x:v>0.39853833851961173</x:v>
      </x:c>
      <x:c r="E10" s="8" t="n">
        <x:f>ABS((C10-B10)/B10)</x:f>
        <x:v>0.1122367410629088</x:v>
      </x:c>
      <x:c r="F10" s="8" t="n">
        <x:v>0.3985</x:v>
      </x:c>
      <x:c r="G10" s="1" t="n">
        <x:f>COUNT('Diario pretest'!E95:E124)</x:f>
        <x:v>30</x:v>
      </x:c>
      <x:c r="H10" s="1" t="str">
        <x:f>IF(AND(ABS(B10-715)&lt;0.005,ABS(C10-795.25)&lt;0.005,ROUND(D10,4)=ROUND(F10,4)),"Coincide","Revisar")</x:f>
        <x:v>Coincide</x:v>
      </x:c>
    </x:row>
    <x:row r="11" ht="23" customHeight="1">
      <x:c r="A11" s="1" t="str">
        <x:v>LIMPIEZA</x:v>
      </x:c>
      <x:c r="B11" s="12" t="n">
        <x:f>SUM('Diario pretest'!C125:C154)</x:f>
        <x:v>580</x:v>
      </x:c>
      <x:c r="C11" s="12" t="n">
        <x:f>SUM('Diario pretest'!D125:D154)</x:f>
        <x:v>532.285742568746</x:v>
      </x:c>
      <x:c r="D11" s="8" t="n">
        <x:f>AVERAGE('Diario pretest'!E125:E154)</x:f>
        <x:v>0.24608833432580965</x:v>
      </x:c>
      <x:c r="E11" s="8" t="n">
        <x:f>ABS((C11-B11)/B11)</x:f>
        <x:v>0.08226596108836906</x:v>
      </x:c>
      <x:c r="F11" s="8" t="n">
        <x:v>0.2461</x:v>
      </x:c>
      <x:c r="G11" s="1" t="n">
        <x:f>COUNT('Diario pretest'!E125:E154)</x:f>
        <x:v>30</x:v>
      </x:c>
      <x:c r="H11" s="1" t="str">
        <x:f>IF(AND(ABS(B11-580)&lt;0.005,ABS(C11-532.29)&lt;0.005,ROUND(D11,4)=ROUND(F11,4)),"Coincide","Revisar")</x:f>
        <x:v>Coincide</x:v>
      </x:c>
    </x:row>
    <x:row r="12" ht="23" customHeight="1">
      <x:c r="A12" s="16" t="str">
        <x:v>TOTAL / GLOBAL</x:v>
      </x:c>
      <x:c r="B12" s="17" t="n">
        <x:f>SUM(B7:B11)</x:f>
        <x:v>7916</x:v>
      </x:c>
      <x:c r="C12" s="17" t="n">
        <x:f>SUM(C7:C11)</x:f>
        <x:v>7767.141674490629</x:v>
      </x:c>
      <x:c r="D12" s="18" t="n">
        <x:f>AVERAGE('Diario pretest'!E5:E154)</x:f>
        <x:v>0.23757020839119042</x:v>
      </x:c>
      <x:c r="E12" s="18" t="n">
        <x:f>ABS((C12-B12)/B12)</x:f>
        <x:v>0.01880474046353851</x:v>
      </x:c>
      <x:c r="F12" s="18" t="n">
        <x:f>AVERAGE(F7:F11)</x:f>
        <x:v>0.23756</x:v>
      </x:c>
      <x:c r="G12" s="16" t="n">
        <x:f>SUM(G7:G11)</x:f>
        <x:v>150</x:v>
      </x:c>
      <x:c r="H12" s="16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</x:row>
    <x:row r="15" ht="23" customHeight="1">
      <x:c r="A15" s="11" t="str">
        <x:v>POSTEST · 17/08/2026 al 15/09/2026 · Modelo</x:v>
      </x:c>
      <x:c r="B15" s="1"/>
      <x:c r="C15" s="1"/>
      <x:c r="D15" s="1"/>
      <x:c r="E15" s="1"/>
      <x:c r="F15" s="1"/>
      <x:c r="G15" s="1"/>
      <x:c r="H15" s="1"/>
    </x:row>
    <x:row r="16" ht="44" customHeight="1">
      <x:c r="A16" s="5" t="str">
        <x:v>Categoría</x:v>
      </x:c>
      <x:c r="B16" s="5" t="str">
        <x:v>DR acumulada</x:v>
      </x:c>
      <x:c r="C16" s="5" t="str">
        <x:v>DP acumulada</x:v>
      </x:c>
      <x:c r="D16" s="5" t="str">
        <x:v>MAPE diario calculado</x:v>
      </x:c>
      <x:c r="E16" s="5" t="str">
        <x:v>Error mensual acumulado</x:v>
      </x:c>
      <x:c r="F16" s="5" t="str">
        <x:v>MAPE original Hoja5</x:v>
      </x:c>
      <x:c r="G16" s="5" t="str">
        <x:v>Pares válidos</x:v>
      </x:c>
      <x:c r="H16" s="5" t="str">
        <x:v>Verificación Hoja5</x:v>
      </x:c>
    </x:row>
    <x:row r="17" ht="23" customHeight="1">
      <x:c r="A17" s="1" t="str">
        <x:v>ABARROTES</x:v>
      </x:c>
      <x:c r="B17" s="12" t="n">
        <x:f>SUM('Diario postest'!C5:C34)</x:f>
        <x:v>1653</x:v>
      </x:c>
      <x:c r="C17" s="12" t="n">
        <x:f>SUM('Diario postest'!D5:D34)</x:f>
        <x:v>1506.7</x:v>
      </x:c>
      <x:c r="D17" s="8" t="n">
        <x:f>AVERAGE('Diario postest'!E5:E34)</x:f>
        <x:v>0.2119405173559297</x:v>
      </x:c>
      <x:c r="E17" s="8" t="n">
        <x:f>ABS((C17-B17)/B17)</x:f>
        <x:v>0.08850574712643676</x:v>
      </x:c>
      <x:c r="F17" s="8" t="n">
        <x:v>0.2119</x:v>
      </x:c>
      <x:c r="G17" s="1" t="n">
        <x:f>COUNT('Diario postest'!E5:E34)</x:f>
        <x:v>30</x:v>
      </x:c>
      <x:c r="H17" s="1" t="str">
        <x:f>IF(AND(ABS(B17-1653)&lt;0.005,ABS(C17-1506.7)&lt;0.005,ROUND(D17,4)=ROUND(F17,4)),"Coincide","Revisar")</x:f>
        <x:v>Coincide</x:v>
      </x:c>
    </x:row>
    <x:row r="18" ht="23" customHeight="1">
      <x:c r="A18" s="1" t="str">
        <x:v>BEBIDAS</x:v>
      </x:c>
      <x:c r="B18" s="12" t="n">
        <x:f>SUM('Diario postest'!C35:C64)</x:f>
        <x:v>2810</x:v>
      </x:c>
      <x:c r="C18" s="12" t="n">
        <x:f>SUM('Diario postest'!D35:D64)</x:f>
        <x:v>2666.390000000001</x:v>
      </x:c>
      <x:c r="D18" s="8" t="n">
        <x:f>AVERAGE('Diario postest'!E35:E64)</x:f>
        <x:v>0.1507809264445122</x:v>
      </x:c>
      <x:c r="E18" s="8" t="n">
        <x:f>ABS((C18-B18)/B18)</x:f>
        <x:v>0.05110676156583602</x:v>
      </x:c>
      <x:c r="F18" s="8" t="n">
        <x:v>0.1508</x:v>
      </x:c>
      <x:c r="G18" s="1" t="n">
        <x:f>COUNT('Diario postest'!E35:E64)</x:f>
        <x:v>30</x:v>
      </x:c>
      <x:c r="H18" s="1" t="str">
        <x:f>IF(AND(ABS(B18-2810)&lt;0.005,ABS(C18-2666.39)&lt;0.005,ROUND(D18,4)=ROUND(F18,4)),"Coincide","Revisar")</x:f>
        <x:v>Coincide</x:v>
      </x:c>
    </x:row>
    <x:row r="19" ht="23" customHeight="1">
      <x:c r="A19" s="1" t="str">
        <x:v>GOLOSINAS</x:v>
      </x:c>
      <x:c r="B19" s="12" t="n">
        <x:f>SUM('Diario postest'!C65:C94)</x:f>
        <x:v>2129</x:v>
      </x:c>
      <x:c r="C19" s="12" t="n">
        <x:f>SUM('Diario postest'!D65:D94)</x:f>
        <x:v>2226.8500000000004</x:v>
      </x:c>
      <x:c r="D19" s="8" t="n">
        <x:f>AVERAGE('Diario postest'!E65:E94)</x:f>
        <x:v>0.2252562484692967</x:v>
      </x:c>
      <x:c r="E19" s="8" t="n">
        <x:f>ABS((C19-B19)/B19)</x:f>
        <x:v>0.04596054485674043</x:v>
      </x:c>
      <x:c r="F19" s="8" t="n">
        <x:v>0.2253</x:v>
      </x:c>
      <x:c r="G19" s="1" t="n">
        <x:f>COUNT('Diario postest'!E65:E94)</x:f>
        <x:v>30</x:v>
      </x:c>
      <x:c r="H19" s="1" t="str">
        <x:f>IF(AND(ABS(B19-2129)&lt;0.005,ABS(C19-2226.85)&lt;0.005,ROUND(D19,4)=ROUND(F19,4)),"Coincide","Revisar")</x:f>
        <x:v>Coincide</x:v>
      </x:c>
    </x:row>
    <x:row r="20" ht="23" customHeight="1">
      <x:c r="A20" s="1" t="str">
        <x:v>HELADOS</x:v>
      </x:c>
      <x:c r="B20" s="12" t="n">
        <x:f>SUM('Diario postest'!C95:C124)</x:f>
        <x:v>792</x:v>
      </x:c>
      <x:c r="C20" s="12" t="n">
        <x:f>SUM('Diario postest'!D95:D124)</x:f>
        <x:v>708.7299999999998</x:v>
      </x:c>
      <x:c r="D20" s="8" t="n">
        <x:f>AVERAGE('Diario postest'!E95:E124)</x:f>
        <x:v>0.31423424892023893</x:v>
      </x:c>
      <x:c r="E20" s="8" t="n">
        <x:f>ABS((C20-B20)/B20)</x:f>
        <x:v>0.10513888888888916</x:v>
      </x:c>
      <x:c r="F20" s="8" t="n">
        <x:v>0.3142</x:v>
      </x:c>
      <x:c r="G20" s="1" t="n">
        <x:f>COUNT('Diario postest'!E95:E124)</x:f>
        <x:v>30</x:v>
      </x:c>
      <x:c r="H20" s="1" t="str">
        <x:f>IF(AND(ABS(B20-792)&lt;0.005,ABS(C20-708.73)&lt;0.005,ROUND(D20,4)=ROUND(F20,4)),"Coincide","Revisar")</x:f>
        <x:v>Coincide</x:v>
      </x:c>
    </x:row>
    <x:row r="21" ht="23" customHeight="1">
      <x:c r="A21" s="1" t="str">
        <x:v>LIMPIEZA</x:v>
      </x:c>
      <x:c r="B21" s="12" t="n">
        <x:f>SUM('Diario postest'!C125:C154)</x:f>
        <x:v>467</x:v>
      </x:c>
      <x:c r="C21" s="12" t="n">
        <x:f>SUM('Diario postest'!D125:D154)</x:f>
        <x:v>575.6199999999999</x:v>
      </x:c>
      <x:c r="D21" s="8" t="n">
        <x:f>AVERAGE('Diario postest'!E125:E154)</x:f>
        <x:v>0.4081296245497612</x:v>
      </x:c>
      <x:c r="E21" s="8" t="n">
        <x:f>ABS((C21-B21)/B21)</x:f>
        <x:v>0.23259100642398264</x:v>
      </x:c>
      <x:c r="F21" s="8" t="n">
        <x:v>0.4081</x:v>
      </x:c>
      <x:c r="G21" s="1" t="n">
        <x:f>COUNT('Diario postest'!E125:E154)</x:f>
        <x:v>30</x:v>
      </x:c>
      <x:c r="H21" s="1" t="str">
        <x:f>IF(AND(ABS(B21-467)&lt;0.005,ABS(C21-575.62)&lt;0.005,ROUND(D21,4)=ROUND(F21,4)),"Coincide","Revisar")</x:f>
        <x:v>Coincide</x:v>
      </x:c>
    </x:row>
    <x:row r="22" ht="23" customHeight="1">
      <x:c r="A22" s="16" t="str">
        <x:v>TOTAL / GLOBAL</x:v>
      </x:c>
      <x:c r="B22" s="17" t="n">
        <x:f>SUM(B17:B21)</x:f>
        <x:v>7851</x:v>
      </x:c>
      <x:c r="C22" s="17" t="n">
        <x:f>SUM(C17:C21)</x:f>
        <x:v>7684.290000000001</x:v>
      </x:c>
      <x:c r="D22" s="18" t="n">
        <x:f>AVERAGE('Diario postest'!E5:E154)</x:f>
        <x:v>0.2620683131479477</x:v>
      </x:c>
      <x:c r="E22" s="18" t="n">
        <x:f>ABS((C22-B22)/B22)</x:f>
        <x:v>0.021234237676728968</x:v>
      </x:c>
      <x:c r="F22" s="18" t="n">
        <x:f>AVERAGE(F17:F21)</x:f>
        <x:v>0.26206000000000007</x:v>
      </x:c>
      <x:c r="G22" s="16" t="n">
        <x:f>SUM(G17:G21)</x:f>
        <x:v>150</x:v>
      </x:c>
      <x:c r="H22" s="16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</x:row>
    <x:row r="24" ht="32" customHeight="1">
      <x:c r="A24" s="10" t="str">
        <x:v>La columna D se calcula desde los datos diarios. La columna E reproduce el cálculo con totales de tu Hoja5.</x:v>
      </x:c>
      <x:c r="B24" s="10"/>
      <x:c r="C24" s="10"/>
      <x:c r="D24" s="10"/>
      <x:c r="E24" s="10"/>
      <x:c r="F24" s="10"/>
      <x:c r="G24" s="10"/>
      <x:c r="H24" s="10"/>
    </x:row>
    <x:row r="25" ht="32" customHeight="1">
      <x:c r="A25" s="10" t="str">
        <x:v>Doble clic en cualquier resultado para ver la fórmula. En las hojas Diario puedes revisar los 30 pares de cada categoría.</x:v>
      </x:c>
      <x:c r="B25" s="10"/>
      <x:c r="C25" s="10"/>
      <x:c r="D25" s="10"/>
      <x:c r="E25" s="10"/>
      <x:c r="F25" s="10"/>
      <x:c r="G25" s="10"/>
      <x:c r="H25" s="10"/>
    </x:row>
    <x:row r="26" ht="32" customHeight="1">
      <x:c r="A26" s="10" t="str">
        <x:v>Las diferencias de pronóstico de hasta 0,005 unidades son redondeo. El MAPE de referencia se compara a 2 decimales porcentuales.</x:v>
      </x:c>
      <x:c r="B26" s="10"/>
      <x:c r="C26" s="10"/>
      <x:c r="D26" s="10"/>
      <x:c r="E26" s="10"/>
      <x:c r="F26" s="10"/>
      <x:c r="G26" s="10"/>
      <x:c r="H26" s="10"/>
    </x:row>
    <x:row r="27" ht="32" customHeight="1">
      <x:c r="A27" s="10" t="str">
        <x:v>La demanda cero se excluye del MAPE, no se transforma en error cero. El detalle original de estas ventanas no contiene demanda cero.</x:v>
      </x:c>
      <x:c r="B27" s="10"/>
      <x:c r="C27" s="10"/>
      <x:c r="D27" s="10"/>
      <x:c r="E27" s="10"/>
      <x:c r="F27" s="10"/>
      <x:c r="G27" s="10"/>
      <x:c r="H27" s="10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</x:row>
    <x:row r="29" ht="44" customHeight="1">
      <x:c r="A29" s="5" t="str">
        <x:v>Comparación global</x:v>
      </x:c>
      <x:c r="B29" s="5" t="str">
        <x:v>Pretest</x:v>
      </x:c>
      <x:c r="C29" s="5" t="str">
        <x:v>Postest</x:v>
      </x:c>
      <x:c r="D29" s="5" t="str">
        <x:v>Cambio en puntos porcentuales</x:v>
      </x:c>
      <x:c r="E29" s="5" t="str">
        <x:v>Lectura</x:v>
      </x:c>
      <x:c r="F29" s="1"/>
      <x:c r="G29" s="1"/>
      <x:c r="H29" s="1"/>
    </x:row>
    <x:row r="30" ht="23" customHeight="1">
      <x:c r="A30" s="1" t="str">
        <x:v>MAPE diario</x:v>
      </x:c>
      <x:c r="B30" s="8" t="n">
        <x:f>D12</x:f>
        <x:v>0.23757020839119042</x:v>
      </x:c>
      <x:c r="C30" s="8" t="n">
        <x:f>D22</x:f>
        <x:v>0.2620683131479477</x:v>
      </x:c>
      <x:c r="D30" s="19" t="n">
        <x:f>(C30-B30)*100</x:f>
        <x:v>2.449810475675729</x:v>
      </x:c>
      <x:c r="E30" s="1" t="str">
        <x:f>IF(C30&lt;B30,"Menor error",IF(C30&gt;B30,"Mayor error","Sin cambio"))</x:f>
        <x:v>Mayor error</x:v>
      </x:c>
      <x:c r="F30" s="1"/>
      <x:c r="G30" s="1"/>
      <x:c r="H30" s="1"/>
    </x:row>
    <x:row r="31" ht="38" customHeight="1">
      <x:c r="A31" s="10" t="str">
        <x:v>Promedio de errores mensuales</x:v>
      </x:c>
      <x:c r="B31" s="8" t="n">
        <x:f>AVERAGE(E7:E11)</x:f>
        <x:v>0.058422741663020396</x:v>
      </x:c>
      <x:c r="C31" s="8" t="n">
        <x:f>AVERAGE(E17:E21)</x:f>
        <x:v>0.104660589772377</x:v>
      </x:c>
      <x:c r="D31" s="19" t="n">
        <x:f>(C31-B31)*100</x:f>
        <x:v>4.62378481093566</x:v>
      </x:c>
      <x:c r="E31" s="1" t="str">
        <x:f>IF(C31&lt;B31,"Menor error",IF(C31&gt;B31,"Mayor error","Sin cambio"))</x:f>
        <x:v>Mayor error</x:v>
      </x:c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32" customHeight="1">
      <x:c r="A33" s="10" t="str">
        <x:v>TOTAL en la columna E es el error del total del negocio; fila 31 es el promedio de los cinco errores mensuales. Son cálculos distintos.</x:v>
      </x:c>
      <x:c r="B33" s="10"/>
      <x:c r="C33" s="10"/>
      <x:c r="D33" s="10"/>
      <x:c r="E33" s="10"/>
      <x:c r="F33" s="10"/>
      <x:c r="G33" s="10"/>
      <x:c r="H33" s="10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32" customHeight="1">
      <x:c r="A36" s="10" t="str">
        <x:v>Fuentes: Libro1.xlsx (Hoja5 C15:E19 y C43:E47) y outputs/anexo2_30dias_hasta_15septiembre/detalle_30dias_verificado.csv.</x:v>
      </x:c>
      <x:c r="B36" s="10"/>
      <x:c r="C36" s="10"/>
      <x:c r="D36" s="10"/>
      <x:c r="E36" s="10"/>
      <x:c r="F36" s="10"/>
      <x:c r="G36" s="10"/>
      <x:c r="H36" s="10"/>
    </x:row>
    <x:row r="37" ht="32" customHeight="1">
      <x:c r="A37" s="10" t="str">
        <x:v>Evaluación retrospectiva. PMS-7 reconstruido en pretest; modelo en postest. La comparación entre ventanas no acredita por sí sola causalidad.</x:v>
      </x:c>
      <x:c r="B37" s="10"/>
      <x:c r="C37" s="10"/>
      <x:c r="D37" s="10"/>
      <x:c r="E37" s="10"/>
      <x:c r="F37" s="10"/>
      <x:c r="G37" s="10"/>
      <x:c r="H37" s="10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</x:sheetData>
  <x:mergeCells>
    <x:mergeCell ref="A1:H1"/>
    <x:mergeCell ref="A2:H2"/>
    <x:mergeCell ref="A3:H3"/>
    <x:mergeCell ref="A24:H24"/>
    <x:mergeCell ref="A25:H25"/>
    <x:mergeCell ref="A26:H26"/>
    <x:mergeCell ref="A27:H27"/>
    <x:mergeCell ref="A36:H36"/>
    <x:mergeCell ref="A37:H37"/>
    <x:mergeCell ref="A5:H5"/>
    <x:mergeCell ref="A15:H15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22" hidden="0" customWidth="1"/>
    <x:col min="5" max="5" width="25" hidden="0" customWidth="1"/>
  </x:cols>
  <x:sheetData>
    <x:row r="1" ht="23" customHeight="1">
      <x:c r="A1" s="1" t="str">
        <x:v>Diario pretest — PMS-7 reconstruido</x:v>
      </x:c>
      <x:c r="B1" s="1"/>
      <x:c r="C1" s="1"/>
      <x:c r="D1" s="1"/>
      <x:c r="E1" s="1"/>
    </x:row>
    <x:row r="2" ht="23" customHeight="1">
      <x:c r="A2" s="1" t="str">
        <x:v>Fuente: detalle_30dias_verificado.csv conservado del proyecto.</x:v>
      </x:c>
      <x:c r="B2" s="1"/>
      <x:c r="C2" s="1"/>
      <x:c r="D2" s="1"/>
      <x:c r="E2" s="1"/>
    </x:row>
    <x:row r="3" ht="23" customHeight="1">
      <x:c r="A3" s="1"/>
      <x:c r="B3" s="1"/>
      <x:c r="C3" s="1"/>
      <x:c r="D3" s="1"/>
      <x:c r="E3" s="1"/>
    </x:row>
    <x:row r="4" ht="44" customHeight="1">
      <x:c r="A4" s="5" t="str">
        <x:v>Fecha</x:v>
      </x:c>
      <x:c r="B4" s="5" t="str">
        <x:v>Categoría</x:v>
      </x:c>
      <x:c r="C4" s="5" t="str">
        <x:v>Demanda real diaria</x:v>
      </x:c>
      <x:c r="D4" s="5" t="str">
        <x:v>Pronóstico diario</x:v>
      </x:c>
      <x:c r="E4" s="5" t="str">
        <x:v>Error absoluto porcentual</x:v>
      </x:c>
    </x:row>
    <x:row r="5" ht="23" customHeight="1">
      <x:c r="A5" s="6" t="n">
        <x:v>46221</x:v>
      </x:c>
      <x:c r="B5" s="1" t="str">
        <x:v>ABARROTES</x:v>
      </x:c>
      <x:c r="C5" s="7" t="n">
        <x:v>56</x:v>
      </x:c>
      <x:c r="D5" s="7" t="n">
        <x:v>54.285714285714285</x:v>
      </x:c>
      <x:c r="E5" s="8" t="n">
        <x:f>IF(C5=0,"",ABS((D5-C5)/C5))</x:f>
        <x:v>0.0306122448979592</x:v>
      </x:c>
    </x:row>
    <x:row r="6" ht="23" customHeight="1">
      <x:c r="A6" s="6" t="n">
        <x:v>46222</x:v>
      </x:c>
      <x:c r="B6" s="1" t="str">
        <x:v>ABARROTES</x:v>
      </x:c>
      <x:c r="C6" s="7" t="n">
        <x:v>66</x:v>
      </x:c>
      <x:c r="D6" s="7" t="n">
        <x:v>52.755102040816325</x:v>
      </x:c>
      <x:c r="E6" s="8" t="n">
        <x:f>IF(C6=0,"",ABS((D6-C6)/C6))</x:f>
        <x:v>0.20068027210884357</x:v>
      </x:c>
    </x:row>
    <x:row r="7" ht="23" customHeight="1">
      <x:c r="A7" s="6" t="n">
        <x:v>46223</x:v>
      </x:c>
      <x:c r="B7" s="1" t="str">
        <x:v>ABARROTES</x:v>
      </x:c>
      <x:c r="C7" s="7" t="n">
        <x:v>52</x:v>
      </x:c>
      <x:c r="D7" s="7" t="n">
        <x:v>54.14868804664723</x:v>
      </x:c>
      <x:c r="E7" s="8" t="n">
        <x:f>IF(C7=0,"",ABS((D7-C7)/C7))</x:f>
        <x:v>0.041320923973985194</x:v>
      </x:c>
    </x:row>
    <x:row r="8" ht="23" customHeight="1">
      <x:c r="A8" s="6" t="n">
        <x:v>46224</x:v>
      </x:c>
      <x:c r="B8" s="1" t="str">
        <x:v>ABARROTES</x:v>
      </x:c>
      <x:c r="C8" s="7" t="n">
        <x:v>71</x:v>
      </x:c>
      <x:c r="D8" s="7" t="n">
        <x:v>54.31278633902541</x:v>
      </x:c>
      <x:c r="E8" s="8" t="n">
        <x:f>IF(C8=0,"",ABS((D8-C8)/C8))</x:f>
        <x:v>0.2350311783235858</x:v>
      </x:c>
    </x:row>
    <x:row r="9" ht="23" customHeight="1">
      <x:c r="A9" s="6" t="n">
        <x:v>46225</x:v>
      </x:c>
      <x:c r="B9" s="1" t="str">
        <x:v>ABARROTES</x:v>
      </x:c>
      <x:c r="C9" s="7" t="n">
        <x:v>39</x:v>
      </x:c>
      <x:c r="D9" s="7" t="n">
        <x:v>55.928898673171894</x:v>
      </x:c>
      <x:c r="E9" s="8" t="n">
        <x:f>IF(C9=0,"",ABS((D9-C9)/C9))</x:f>
        <x:v>0.4340743249531255</x:v>
      </x:c>
    </x:row>
    <x:row r="10" ht="23" customHeight="1">
      <x:c r="A10" s="6" t="n">
        <x:v>46226</x:v>
      </x:c>
      <x:c r="B10" s="1" t="str">
        <x:v>ABARROTES</x:v>
      </x:c>
      <x:c r="C10" s="7" t="n">
        <x:v>26</x:v>
      </x:c>
      <x:c r="D10" s="7" t="n">
        <x:v>54.06159848362502</x:v>
      </x:c>
      <x:c r="E10" s="8" t="n">
        <x:f>IF(C10=0,"",ABS((D10-C10)/C10))</x:f>
        <x:v>1.079292249370193</x:v>
      </x:c>
    </x:row>
    <x:row r="11" ht="23" customHeight="1">
      <x:c r="A11" s="6" t="n">
        <x:v>46227</x:v>
      </x:c>
      <x:c r="B11" s="1" t="str">
        <x:v>ABARROTES</x:v>
      </x:c>
      <x:c r="C11" s="7" t="n">
        <x:v>58</x:v>
      </x:c>
      <x:c r="D11" s="7" t="n">
        <x:v>55.07039826700002</x:v>
      </x:c>
      <x:c r="E11" s="8" t="n">
        <x:f>IF(C11=0,"",ABS((D11-C11)/C11))</x:f>
        <x:v>0.050510374706896156</x:v>
      </x:c>
    </x:row>
    <x:row r="12" ht="23" customHeight="1">
      <x:c r="A12" s="6" t="n">
        <x:v>46228</x:v>
      </x:c>
      <x:c r="B12" s="1" t="str">
        <x:v>ABARROTES</x:v>
      </x:c>
      <x:c r="C12" s="7" t="n">
        <x:v>43</x:v>
      </x:c>
      <x:c r="D12" s="7" t="n">
        <x:v>54.36616944800003</x:v>
      </x:c>
      <x:c r="E12" s="8" t="n">
        <x:f>IF(C12=0,"",ABS((D12-C12)/C12))</x:f>
        <x:v>0.26432952204651233</x:v>
      </x:c>
    </x:row>
    <x:row r="13" ht="23" customHeight="1">
      <x:c r="A13" s="6" t="n">
        <x:v>46229</x:v>
      </x:c>
      <x:c r="B13" s="1" t="str">
        <x:v>ABARROTES</x:v>
      </x:c>
      <x:c r="C13" s="7" t="n">
        <x:v>68</x:v>
      </x:c>
      <x:c r="D13" s="7" t="n">
        <x:v>54.37766304261228</x:v>
      </x:c>
      <x:c r="E13" s="8" t="n">
        <x:f>IF(C13=0,"",ABS((D13-C13)/C13))</x:f>
        <x:v>0.20032848466746653</x:v>
      </x:c>
    </x:row>
    <x:row r="14" ht="23" customHeight="1">
      <x:c r="A14" s="6" t="n">
        <x:v>46230</x:v>
      </x:c>
      <x:c r="B14" s="1" t="str">
        <x:v>ABARROTES</x:v>
      </x:c>
      <x:c r="C14" s="7" t="n">
        <x:v>41</x:v>
      </x:c>
      <x:c r="D14" s="7" t="n">
        <x:v>54.609457471440265</x:v>
      </x:c>
      <x:c r="E14" s="8" t="n">
        <x:f>IF(C14=0,"",ABS((D14-C14)/C14))</x:f>
        <x:v>0.33193798710829914</x:v>
      </x:c>
    </x:row>
    <x:row r="15" ht="23" customHeight="1">
      <x:c r="A15" s="6" t="n">
        <x:v>46231</x:v>
      </x:c>
      <x:c r="B15" s="1" t="str">
        <x:v>ABARROTES</x:v>
      </x:c>
      <x:c r="C15" s="7" t="n">
        <x:v>48</x:v>
      </x:c>
      <x:c r="D15" s="7" t="n">
        <x:v>54.67528167498213</x:v>
      </x:c>
      <x:c r="E15" s="8" t="n">
        <x:f>IF(C15=0,"",ABS((D15-C15)/C15))</x:f>
        <x:v>0.1390683682287944</x:v>
      </x:c>
    </x:row>
    <x:row r="16" ht="23" customHeight="1">
      <x:c r="A16" s="6" t="n">
        <x:v>46232</x:v>
      </x:c>
      <x:c r="B16" s="1" t="str">
        <x:v>ABARROTES</x:v>
      </x:c>
      <x:c r="C16" s="7" t="n">
        <x:v>44</x:v>
      </x:c>
      <x:c r="D16" s="7" t="n">
        <x:v>54.72706672297595</x:v>
      </x:c>
      <x:c r="E16" s="8" t="n">
        <x:f>IF(C16=0,"",ABS((D16-C16)/C16))</x:f>
        <x:v>0.2437969709767261</x:v>
      </x:c>
    </x:row>
    <x:row r="17" ht="23" customHeight="1">
      <x:c r="A17" s="6" t="n">
        <x:v>46233</x:v>
      </x:c>
      <x:c r="B17" s="1" t="str">
        <x:v>ABARROTES</x:v>
      </x:c>
      <x:c r="C17" s="7" t="n">
        <x:v>60</x:v>
      </x:c>
      <x:c r="D17" s="7" t="n">
        <x:v>54.55537644437653</x:v>
      </x:c>
      <x:c r="E17" s="8" t="n">
        <x:f>IF(C17=0,"",ABS((D17-C17)/C17))</x:f>
        <x:v>0.09074372592705787</x:v>
      </x:c>
    </x:row>
    <x:row r="18" ht="23" customHeight="1">
      <x:c r="A18" s="6" t="n">
        <x:v>46234</x:v>
      </x:c>
      <x:c r="B18" s="1" t="str">
        <x:v>ABARROTES</x:v>
      </x:c>
      <x:c r="C18" s="7" t="n">
        <x:v>72</x:v>
      </x:c>
      <x:c r="D18" s="7" t="n">
        <x:v>54.625916153055314</x:v>
      </x:c>
      <x:c r="E18" s="8" t="n">
        <x:f>IF(C18=0,"",ABS((D18-C18)/C18))</x:f>
        <x:v>0.24130672009645396</x:v>
      </x:c>
    </x:row>
    <x:row r="19" ht="23" customHeight="1">
      <x:c r="A19" s="6" t="n">
        <x:v>46235</x:v>
      </x:c>
      <x:c r="B19" s="1" t="str">
        <x:v>ABARROTES</x:v>
      </x:c>
      <x:c r="C19" s="7" t="n">
        <x:v>51</x:v>
      </x:c>
      <x:c r="D19" s="7" t="n">
        <x:v>54.56241870820607</x:v>
      </x:c>
      <x:c r="E19" s="8" t="n">
        <x:f>IF(C19=0,"",ABS((D19-C19)/C19))</x:f>
        <x:v>0.06985134721972681</x:v>
      </x:c>
    </x:row>
    <x:row r="20" ht="23" customHeight="1">
      <x:c r="A20" s="6" t="n">
        <x:v>46236</x:v>
      </x:c>
      <x:c r="B20" s="1" t="str">
        <x:v>ABARROTES</x:v>
      </x:c>
      <x:c r="C20" s="7" t="n">
        <x:v>65</x:v>
      </x:c>
      <x:c r="D20" s="7" t="n">
        <x:v>54.590454316806934</x:v>
      </x:c>
      <x:c r="E20" s="8" t="n">
        <x:f>IF(C20=0,"",ABS((D20-C20)/C20))</x:f>
        <x:v>0.1601468566645087</x:v>
      </x:c>
    </x:row>
    <x:row r="21" ht="23" customHeight="1">
      <x:c r="A21" s="6" t="n">
        <x:v>46237</x:v>
      </x:c>
      <x:c r="B21" s="1" t="str">
        <x:v>ABARROTES</x:v>
      </x:c>
      <x:c r="C21" s="7" t="n">
        <x:v>55</x:v>
      </x:c>
      <x:c r="D21" s="7" t="n">
        <x:v>54.620853070263315</x:v>
      </x:c>
      <x:c r="E21" s="8" t="n">
        <x:f>IF(C21=0,"",ABS((D21-C21)/C21))</x:f>
        <x:v>0.006893580540666991</x:v>
      </x:c>
    </x:row>
    <x:row r="22" ht="23" customHeight="1">
      <x:c r="A22" s="6" t="n">
        <x:v>46238</x:v>
      </x:c>
      <x:c r="B22" s="1" t="str">
        <x:v>ABARROTES</x:v>
      </x:c>
      <x:c r="C22" s="7" t="n">
        <x:v>47</x:v>
      </x:c>
      <x:c r="D22" s="7" t="n">
        <x:v>54.62248101295232</x:v>
      </x:c>
      <x:c r="E22" s="8" t="n">
        <x:f>IF(C22=0,"",ABS((D22-C22)/C22))</x:f>
        <x:v>0.16218044708409193</x:v>
      </x:c>
    </x:row>
    <x:row r="23" ht="23" customHeight="1">
      <x:c r="A23" s="6" t="n">
        <x:v>46239</x:v>
      </x:c>
      <x:c r="B23" s="1" t="str">
        <x:v>ABARROTES</x:v>
      </x:c>
      <x:c r="C23" s="7" t="n">
        <x:v>32</x:v>
      </x:c>
      <x:c r="D23" s="7" t="n">
        <x:v>54.61493806123377</x:v>
      </x:c>
      <x:c r="E23" s="8" t="n">
        <x:f>IF(C23=0,"",ABS((D23-C23)/C23))</x:f>
        <x:v>0.7067168144135554</x:v>
      </x:c>
    </x:row>
    <x:row r="24" ht="23" customHeight="1">
      <x:c r="A24" s="6" t="n">
        <x:v>46240</x:v>
      </x:c>
      <x:c r="B24" s="1" t="str">
        <x:v>ABARROTES</x:v>
      </x:c>
      <x:c r="C24" s="7" t="n">
        <x:v>66</x:v>
      </x:c>
      <x:c r="D24" s="7" t="n">
        <x:v>54.59891968098489</x:v>
      </x:c>
      <x:c r="E24" s="8" t="n">
        <x:f>IF(C24=0,"",ABS((D24-C24)/C24))</x:f>
        <x:v>0.1727436411971986</x:v>
      </x:c>
    </x:row>
    <x:row r="25" ht="23" customHeight="1">
      <x:c r="A25" s="6" t="n">
        <x:v>46241</x:v>
      </x:c>
      <x:c r="B25" s="1" t="str">
        <x:v>ABARROTES</x:v>
      </x:c>
      <x:c r="C25" s="7" t="n">
        <x:v>58</x:v>
      </x:c>
      <x:c r="D25" s="7" t="n">
        <x:v>54.60514014335752</x:v>
      </x:c>
      <x:c r="E25" s="8" t="n">
        <x:f>IF(C25=0,"",ABS((D25-C25)/C25))</x:f>
        <x:v>0.058532066493835924</x:v>
      </x:c>
    </x:row>
    <x:row r="26" ht="23" customHeight="1">
      <x:c r="A26" s="6" t="n">
        <x:v>46242</x:v>
      </x:c>
      <x:c r="B26" s="1" t="str">
        <x:v>ABARROTES</x:v>
      </x:c>
      <x:c r="C26" s="7" t="n">
        <x:v>68</x:v>
      </x:c>
      <x:c r="D26" s="7" t="n">
        <x:v>54.60217214197212</x:v>
      </x:c>
      <x:c r="E26" s="8" t="n">
        <x:f>IF(C26=0,"",ABS((D26-C26)/C26))</x:f>
        <x:v>0.1970268802651159</x:v>
      </x:c>
    </x:row>
    <x:row r="27" ht="23" customHeight="1">
      <x:c r="A27" s="6" t="n">
        <x:v>46243</x:v>
      </x:c>
      <x:c r="B27" s="1" t="str">
        <x:v>ABARROTES</x:v>
      </x:c>
      <x:c r="C27" s="7" t="n">
        <x:v>52</x:v>
      </x:c>
      <x:c r="D27" s="7" t="n">
        <x:v>54.607851203938694</x:v>
      </x:c>
      <x:c r="E27" s="8" t="n">
        <x:f>IF(C27=0,"",ABS((D27-C27)/C27))</x:f>
        <x:v>0.050150984691128726</x:v>
      </x:c>
    </x:row>
    <x:row r="28" ht="23" customHeight="1">
      <x:c r="A28" s="6" t="n">
        <x:v>46244</x:v>
      </x:c>
      <x:c r="B28" s="1" t="str">
        <x:v>ABARROTES</x:v>
      </x:c>
      <x:c r="C28" s="7" t="n">
        <x:v>51</x:v>
      </x:c>
      <x:c r="D28" s="7" t="n">
        <x:v>54.610336473528946</x:v>
      </x:c>
      <x:c r="E28" s="8" t="n">
        <x:f>IF(C28=0,"",ABS((D28-C28)/C28))</x:f>
        <x:v>0.07079091124566561</x:v>
      </x:c>
    </x:row>
    <x:row r="29" ht="23" customHeight="1">
      <x:c r="A29" s="6" t="n">
        <x:v>46245</x:v>
      </x:c>
      <x:c r="B29" s="1" t="str">
        <x:v>ABARROTES</x:v>
      </x:c>
      <x:c r="C29" s="7" t="n">
        <x:v>39</x:v>
      </x:c>
      <x:c r="D29" s="7" t="n">
        <x:v>54.608834102566895</x:v>
      </x:c>
      <x:c r="E29" s="8" t="n">
        <x:f>IF(C29=0,"",ABS((D29-C29)/C29))</x:f>
        <x:v>0.4002265154504332</x:v>
      </x:c>
    </x:row>
    <x:row r="30" ht="23" customHeight="1">
      <x:c r="A30" s="6" t="n">
        <x:v>46246</x:v>
      </x:c>
      <x:c r="B30" s="1" t="str">
        <x:v>ABARROTES</x:v>
      </x:c>
      <x:c r="C30" s="7" t="n">
        <x:v>52</x:v>
      </x:c>
      <x:c r="D30" s="7" t="n">
        <x:v>54.6068845439404</x:v>
      </x:c>
      <x:c r="E30" s="8" t="n">
        <x:f>IF(C30=0,"",ABS((D30-C30)/C30))</x:f>
        <x:v>0.05013239507577698</x:v>
      </x:c>
    </x:row>
    <x:row r="31" ht="23" customHeight="1">
      <x:c r="A31" s="6" t="n">
        <x:v>46247</x:v>
      </x:c>
      <x:c r="B31" s="1" t="str">
        <x:v>ABARROTES</x:v>
      </x:c>
      <x:c r="C31" s="7" t="n">
        <x:v>40</x:v>
      </x:c>
      <x:c r="D31" s="7" t="n">
        <x:v>54.60573404146992</x:v>
      </x:c>
      <x:c r="E31" s="8" t="n">
        <x:f>IF(C31=0,"",ABS((D31-C31)/C31))</x:f>
        <x:v>0.36514335103674805</x:v>
      </x:c>
    </x:row>
    <x:row r="32" ht="23" customHeight="1">
      <x:c r="A32" s="6" t="n">
        <x:v>46248</x:v>
      </x:c>
      <x:c r="B32" s="1" t="str">
        <x:v>ABARROTES</x:v>
      </x:c>
      <x:c r="C32" s="7" t="n">
        <x:v>56</x:v>
      </x:c>
      <x:c r="D32" s="7" t="n">
        <x:v>54.606707521539214</x:v>
      </x:c>
      <x:c r="E32" s="8" t="n">
        <x:f>IF(C32=0,"",ABS((D32-C32)/C32))</x:f>
        <x:v>0.0248802228296569</x:v>
      </x:c>
    </x:row>
    <x:row r="33" ht="23" customHeight="1">
      <x:c r="A33" s="6" t="n">
        <x:v>46249</x:v>
      </x:c>
      <x:c r="B33" s="1" t="str">
        <x:v>ABARROTES</x:v>
      </x:c>
      <x:c r="C33" s="7" t="n">
        <x:v>69</x:v>
      </x:c>
      <x:c r="D33" s="7" t="n">
        <x:v>54.60693143270803</x:v>
      </x:c>
      <x:c r="E33" s="8" t="n">
        <x:f>IF(C33=0,"",ABS((D33-C33)/C33))</x:f>
        <x:v>0.20859519662741985</x:v>
      </x:c>
    </x:row>
    <x:row r="34" ht="23" customHeight="1">
      <x:c r="A34" s="6" t="n">
        <x:v>46250</x:v>
      </x:c>
      <x:c r="B34" s="1" t="str">
        <x:v>ABARROTES</x:v>
      </x:c>
      <x:c r="C34" s="7" t="n">
        <x:v>59</x:v>
      </x:c>
      <x:c r="D34" s="7" t="n">
        <x:v>54.60761133138459</x:v>
      </x:c>
      <x:c r="E34" s="8" t="n">
        <x:f>IF(C34=0,"",ABS((D34-C34)/C34))</x:f>
        <x:v>0.07444726556975272</x:v>
      </x:c>
    </x:row>
    <x:row r="35" ht="23" customHeight="1">
      <x:c r="A35" s="6" t="n">
        <x:v>46221</x:v>
      </x:c>
      <x:c r="B35" s="1" t="str">
        <x:v>BEBIDAS</x:v>
      </x:c>
      <x:c r="C35" s="7" t="n">
        <x:v>93</x:v>
      </x:c>
      <x:c r="D35" s="7" t="n">
        <x:v>86.71428571428571</x:v>
      </x:c>
      <x:c r="E35" s="8" t="n">
        <x:f>IF(C35=0,"",ABS((D35-C35)/C35))</x:f>
        <x:v>0.06758832565284184</x:v>
      </x:c>
    </x:row>
    <x:row r="36" ht="23" customHeight="1">
      <x:c r="A36" s="6" t="n">
        <x:v>46222</x:v>
      </x:c>
      <x:c r="B36" s="1" t="str">
        <x:v>BEBIDAS</x:v>
      </x:c>
      <x:c r="C36" s="7" t="n">
        <x:v>77</x:v>
      </x:c>
      <x:c r="D36" s="7" t="n">
        <x:v>84.6734693877551</x:v>
      </x:c>
      <x:c r="E36" s="8" t="n">
        <x:f>IF(C36=0,"",ABS((D36-C36)/C36))</x:f>
        <x:v>0.09965544659422215</x:v>
      </x:c>
    </x:row>
    <x:row r="37" ht="23" customHeight="1">
      <x:c r="A37" s="6" t="n">
        <x:v>46223</x:v>
      </x:c>
      <x:c r="B37" s="1" t="str">
        <x:v>BEBIDAS</x:v>
      </x:c>
      <x:c r="C37" s="7" t="n">
        <x:v>90</x:v>
      </x:c>
      <x:c r="D37" s="7" t="n">
        <x:v>85.91253644314868</x:v>
      </x:c>
      <x:c r="E37" s="8" t="n">
        <x:f>IF(C37=0,"",ABS((D37-C37)/C37))</x:f>
        <x:v>0.045416261742792424</x:v>
      </x:c>
    </x:row>
    <x:row r="38" ht="23" customHeight="1">
      <x:c r="A38" s="6" t="n">
        <x:v>46224</x:v>
      </x:c>
      <x:c r="B38" s="1" t="str">
        <x:v>BEBIDAS</x:v>
      </x:c>
      <x:c r="C38" s="7" t="n">
        <x:v>81</x:v>
      </x:c>
      <x:c r="D38" s="7" t="n">
        <x:v>87.47147022074135</x:v>
      </x:c>
      <x:c r="E38" s="8" t="n">
        <x:f>IF(C38=0,"",ABS((D38-C38)/C38))</x:f>
        <x:v>0.07989469408322657</x:v>
      </x:c>
    </x:row>
    <x:row r="39" ht="23" customHeight="1">
      <x:c r="A39" s="6" t="n">
        <x:v>46225</x:v>
      </x:c>
      <x:c r="B39" s="1" t="str">
        <x:v>BEBIDAS</x:v>
      </x:c>
      <x:c r="C39" s="7" t="n">
        <x:v>73</x:v>
      </x:c>
      <x:c r="D39" s="7" t="n">
        <x:v>89.39596596656155</x:v>
      </x:c>
      <x:c r="E39" s="8" t="n">
        <x:f>IF(C39=0,"",ABS((D39-C39)/C39))</x:f>
        <x:v>0.22460227351454176</x:v>
      </x:c>
    </x:row>
    <x:row r="40" ht="23" customHeight="1">
      <x:c r="A40" s="6" t="n">
        <x:v>46226</x:v>
      </x:c>
      <x:c r="B40" s="1" t="str">
        <x:v>BEBIDAS</x:v>
      </x:c>
      <x:c r="C40" s="7" t="n">
        <x:v>82</x:v>
      </x:c>
      <x:c r="D40" s="7" t="n">
        <x:v>86.30967539035606</x:v>
      </x:c>
      <x:c r="E40" s="8" t="n">
        <x:f>IF(C40=0,"",ABS((D40-C40)/C40))</x:f>
        <x:v>0.05255701695556174</x:v>
      </x:c>
    </x:row>
    <x:row r="41" ht="23" customHeight="1">
      <x:c r="A41" s="6" t="n">
        <x:v>46227</x:v>
      </x:c>
      <x:c r="B41" s="1" t="str">
        <x:v>BEBIDAS</x:v>
      </x:c>
      <x:c r="C41" s="7" t="n">
        <x:v>98</x:v>
      </x:c>
      <x:c r="D41" s="7" t="n">
        <x:v>85.35391473183549</x:v>
      </x:c>
      <x:c r="E41" s="8" t="n">
        <x:f>IF(C41=0,"",ABS((D41-C41)/C41))</x:f>
        <x:v>0.12904168640984195</x:v>
      </x:c>
    </x:row>
    <x:row r="42" ht="23" customHeight="1">
      <x:c r="A42" s="6" t="n">
        <x:v>46228</x:v>
      </x:c>
      <x:c r="B42" s="1" t="str">
        <x:v>BEBIDAS</x:v>
      </x:c>
      <x:c r="C42" s="7" t="n">
        <x:v>115</x:v>
      </x:c>
      <x:c r="D42" s="7" t="n">
        <x:v>86.5473311220977</x:v>
      </x:c>
      <x:c r="E42" s="8" t="n">
        <x:f>IF(C42=0,"",ABS((D42-C42)/C42))</x:f>
        <x:v>0.24741451198175912</x:v>
      </x:c>
    </x:row>
    <x:row r="43" ht="23" customHeight="1">
      <x:c r="A43" s="6" t="n">
        <x:v>46229</x:v>
      </x:c>
      <x:c r="B43" s="1" t="str">
        <x:v>BEBIDAS</x:v>
      </x:c>
      <x:c r="C43" s="7" t="n">
        <x:v>88</x:v>
      </x:c>
      <x:c r="D43" s="7" t="n">
        <x:v>86.52348046607085</x:v>
      </x:c>
      <x:c r="E43" s="8" t="n">
        <x:f>IF(C43=0,"",ABS((D43-C43)/C43))</x:f>
        <x:v>0.0167786310673767</x:v>
      </x:c>
    </x:row>
    <x:row r="44" ht="23" customHeight="1">
      <x:c r="A44" s="6" t="n">
        <x:v>46230</x:v>
      </x:c>
      <x:c r="B44" s="1" t="str">
        <x:v>BEBIDAS</x:v>
      </x:c>
      <x:c r="C44" s="7" t="n">
        <x:v>72</x:v>
      </x:c>
      <x:c r="D44" s="7" t="n">
        <x:v>86.7877677629731</x:v>
      </x:c>
      <x:c r="E44" s="8" t="n">
        <x:f>IF(C44=0,"",ABS((D44-C44)/C44))</x:f>
        <x:v>0.20538566337462644</x:v>
      </x:c>
    </x:row>
    <x:row r="45" ht="23" customHeight="1">
      <x:c r="A45" s="6" t="n">
        <x:v>46231</x:v>
      </x:c>
      <x:c r="B45" s="1" t="str">
        <x:v>BEBIDAS</x:v>
      </x:c>
      <x:c r="C45" s="7" t="n">
        <x:v>104</x:v>
      </x:c>
      <x:c r="D45" s="7" t="n">
        <x:v>86.9128008086623</x:v>
      </x:c>
      <x:c r="E45" s="8" t="n">
        <x:f>IF(C45=0,"",ABS((D45-C45)/C45))</x:f>
        <x:v>0.164299992224401</x:v>
      </x:c>
    </x:row>
    <x:row r="46" ht="23" customHeight="1">
      <x:c r="A46" s="6" t="n">
        <x:v>46232</x:v>
      </x:c>
      <x:c r="B46" s="1" t="str">
        <x:v>BEBIDAS</x:v>
      </x:c>
      <x:c r="C46" s="7" t="n">
        <x:v>79</x:v>
      </x:c>
      <x:c r="D46" s="7" t="n">
        <x:v>86.83299089265101</x:v>
      </x:c>
      <x:c r="E46" s="8" t="n">
        <x:f>IF(C46=0,"",ABS((D46-C46)/C46))</x:f>
        <x:v>0.09915178345127863</x:v>
      </x:c>
    </x:row>
    <x:row r="47" ht="23" customHeight="1">
      <x:c r="A47" s="6" t="n">
        <x:v>46233</x:v>
      </x:c>
      <x:c r="B47" s="1" t="str">
        <x:v>BEBIDAS</x:v>
      </x:c>
      <x:c r="C47" s="7" t="n">
        <x:v>88</x:v>
      </x:c>
      <x:c r="D47" s="7" t="n">
        <x:v>86.46685159637808</x:v>
      </x:c>
      <x:c r="E47" s="8" t="n">
        <x:f>IF(C47=0,"",ABS((D47-C47)/C47))</x:f>
        <x:v>0.017422140950249118</x:v>
      </x:c>
    </x:row>
    <x:row r="48" ht="23" customHeight="1">
      <x:c r="A48" s="6" t="n">
        <x:v>46234</x:v>
      </x:c>
      <x:c r="B48" s="1" t="str">
        <x:v>BEBIDAS</x:v>
      </x:c>
      <x:c r="C48" s="7" t="n">
        <x:v>100</x:v>
      </x:c>
      <x:c r="D48" s="7" t="n">
        <x:v>86.4893053400955</x:v>
      </x:c>
      <x:c r="E48" s="8" t="n">
        <x:f>IF(C48=0,"",ABS((D48-C48)/C48))</x:f>
        <x:v>0.135106946599045</x:v>
      </x:c>
    </x:row>
    <x:row r="49" ht="23" customHeight="1">
      <x:c r="A49" s="6" t="n">
        <x:v>46235</x:v>
      </x:c>
      <x:c r="B49" s="1" t="str">
        <x:v>BEBIDAS</x:v>
      </x:c>
      <x:c r="C49" s="7" t="n">
        <x:v>125</x:v>
      </x:c>
      <x:c r="D49" s="7" t="n">
        <x:v>86.65150399841836</x:v>
      </x:c>
      <x:c r="E49" s="8" t="n">
        <x:f>IF(C49=0,"",ABS((D49-C49)/C49))</x:f>
        <x:v>0.3067879680126531</x:v>
      </x:c>
    </x:row>
    <x:row r="50" ht="23" customHeight="1">
      <x:c r="A50" s="6" t="n">
        <x:v>46236</x:v>
      </x:c>
      <x:c r="B50" s="1" t="str">
        <x:v>BEBIDAS</x:v>
      </x:c>
      <x:c r="C50" s="7" t="n">
        <x:v>100</x:v>
      </x:c>
      <x:c r="D50" s="7" t="n">
        <x:v>86.66638583789275</x:v>
      </x:c>
      <x:c r="E50" s="8" t="n">
        <x:f>IF(C50=0,"",ABS((D50-C50)/C50))</x:f>
        <x:v>0.13333614162107252</x:v>
      </x:c>
    </x:row>
    <x:row r="51" ht="23" customHeight="1">
      <x:c r="A51" s="6" t="n">
        <x:v>46237</x:v>
      </x:c>
      <x:c r="B51" s="1" t="str">
        <x:v>BEBIDAS</x:v>
      </x:c>
      <x:c r="C51" s="7" t="n">
        <x:v>84</x:v>
      </x:c>
      <x:c r="D51" s="7" t="n">
        <x:v>86.68680089101015</x:v>
      </x:c>
      <x:c r="E51" s="8" t="n">
        <x:f>IF(C51=0,"",ABS((D51-C51)/C51))</x:f>
        <x:v>0.03198572489297798</x:v>
      </x:c>
    </x:row>
    <x:row r="52" ht="23" customHeight="1">
      <x:c r="A52" s="6" t="n">
        <x:v>46238</x:v>
      </x:c>
      <x:c r="B52" s="1" t="str">
        <x:v>BEBIDAS</x:v>
      </x:c>
      <x:c r="C52" s="7" t="n">
        <x:v>75</x:v>
      </x:c>
      <x:c r="D52" s="7" t="n">
        <x:v>86.67237705215831</x:v>
      </x:c>
      <x:c r="E52" s="8" t="n">
        <x:f>IF(C52=0,"",ABS((D52-C52)/C52))</x:f>
        <x:v>0.15563169402877747</x:v>
      </x:c>
    </x:row>
    <x:row r="53" ht="23" customHeight="1">
      <x:c r="A53" s="6" t="n">
        <x:v>46239</x:v>
      </x:c>
      <x:c r="B53" s="1" t="str">
        <x:v>BEBIDAS</x:v>
      </x:c>
      <x:c r="C53" s="7" t="n">
        <x:v>96</x:v>
      </x:c>
      <x:c r="D53" s="7" t="n">
        <x:v>86.63803080122916</x:v>
      </x:c>
      <x:c r="E53" s="8" t="n">
        <x:f>IF(C53=0,"",ABS((D53-C53)/C53))</x:f>
        <x:v>0.09752051248719622</x:v>
      </x:c>
    </x:row>
    <x:row r="54" ht="23" customHeight="1">
      <x:c r="A54" s="6" t="n">
        <x:v>46240</x:v>
      </x:c>
      <x:c r="B54" s="1" t="str">
        <x:v>BEBIDAS</x:v>
      </x:c>
      <x:c r="C54" s="7" t="n">
        <x:v>125</x:v>
      </x:c>
      <x:c r="D54" s="7" t="n">
        <x:v>86.61017935959747</x:v>
      </x:c>
      <x:c r="E54" s="8" t="n">
        <x:f>IF(C54=0,"",ABS((D54-C54)/C54))</x:f>
        <x:v>0.3071185651232203</x:v>
      </x:c>
    </x:row>
    <x:row r="55" ht="23" customHeight="1">
      <x:c r="A55" s="6" t="n">
        <x:v>46241</x:v>
      </x:c>
      <x:c r="B55" s="1" t="str">
        <x:v>BEBIDAS</x:v>
      </x:c>
      <x:c r="C55" s="7" t="n">
        <x:v>88</x:v>
      </x:c>
      <x:c r="D55" s="7" t="n">
        <x:v>86.6306547543431</x:v>
      </x:c>
      <x:c r="E55" s="8" t="n">
        <x:f>IF(C55=0,"",ABS((D55-C55)/C55))</x:f>
        <x:v>0.01556074142791934</x:v>
      </x:c>
    </x:row>
    <x:row r="56" ht="23" customHeight="1">
      <x:c r="A56" s="6" t="n">
        <x:v>46242</x:v>
      </x:c>
      <x:c r="B56" s="1" t="str">
        <x:v>BEBIDAS</x:v>
      </x:c>
      <x:c r="C56" s="7" t="n">
        <x:v>87</x:v>
      </x:c>
      <x:c r="D56" s="7" t="n">
        <x:v>86.65084752780704</x:v>
      </x:c>
      <x:c r="E56" s="8" t="n">
        <x:f>IF(C56=0,"",ABS((D56-C56)/C56))</x:f>
        <x:v>0.004013246806815576</x:v>
      </x:c>
    </x:row>
    <x:row r="57" ht="23" customHeight="1">
      <x:c r="A57" s="6" t="n">
        <x:v>46243</x:v>
      </x:c>
      <x:c r="B57" s="1" t="str">
        <x:v>BEBIDAS</x:v>
      </x:c>
      <x:c r="C57" s="7" t="n">
        <x:v>128</x:v>
      </x:c>
      <x:c r="D57" s="7" t="n">
        <x:v>86.65075374629114</x:v>
      </x:c>
      <x:c r="E57" s="8" t="n">
        <x:f>IF(C57=0,"",ABS((D57-C57)/C57))</x:f>
        <x:v>0.32304098635710043</x:v>
      </x:c>
    </x:row>
    <x:row r="58" ht="23" customHeight="1">
      <x:c r="A58" s="6" t="n">
        <x:v>46244</x:v>
      </x:c>
      <x:c r="B58" s="1" t="str">
        <x:v>BEBIDAS</x:v>
      </x:c>
      <x:c r="C58" s="7" t="n">
        <x:v>90</x:v>
      </x:c>
      <x:c r="D58" s="7" t="n">
        <x:v>86.64852059034806</x:v>
      </x:c>
      <x:c r="E58" s="8" t="n">
        <x:f>IF(C58=0,"",ABS((D58-C58)/C58))</x:f>
        <x:v>0.03723866010724382</x:v>
      </x:c>
    </x:row>
    <x:row r="59" ht="23" customHeight="1">
      <x:c r="A59" s="6" t="n">
        <x:v>46245</x:v>
      </x:c>
      <x:c r="B59" s="1" t="str">
        <x:v>BEBIDAS</x:v>
      </x:c>
      <x:c r="C59" s="7" t="n">
        <x:v>70</x:v>
      </x:c>
      <x:c r="D59" s="7" t="n">
        <x:v>86.64305197596775</x:v>
      </x:c>
      <x:c r="E59" s="8" t="n">
        <x:f>IF(C59=0,"",ABS((D59-C59)/C59))</x:f>
        <x:v>0.23775788537096787</x:v>
      </x:c>
    </x:row>
    <x:row r="60" ht="23" customHeight="1">
      <x:c r="A60" s="6" t="n">
        <x:v>46246</x:v>
      </x:c>
      <x:c r="B60" s="1" t="str">
        <x:v>BEBIDAS</x:v>
      </x:c>
      <x:c r="C60" s="7" t="n">
        <x:v>87</x:v>
      </x:c>
      <x:c r="D60" s="7" t="n">
        <x:v>86.6388626793691</x:v>
      </x:c>
      <x:c r="E60" s="8" t="n">
        <x:f>IF(C60=0,"",ABS((D60-C60)/C60))</x:f>
        <x:v>0.004151003685412673</x:v>
      </x:c>
    </x:row>
    <x:row r="61" ht="23" customHeight="1">
      <x:c r="A61" s="6" t="n">
        <x:v>46247</x:v>
      </x:c>
      <x:c r="B61" s="1" t="str">
        <x:v>BEBIDAS</x:v>
      </x:c>
      <x:c r="C61" s="7" t="n">
        <x:v>112</x:v>
      </x:c>
      <x:c r="D61" s="7" t="n">
        <x:v>86.63898151910338</x:v>
      </x:c>
      <x:c r="E61" s="8" t="n">
        <x:f>IF(C61=0,"",ABS((D61-C61)/C61))</x:f>
        <x:v>0.22643766500800552</x:v>
      </x:c>
    </x:row>
    <x:row r="62" ht="23" customHeight="1">
      <x:c r="A62" s="6" t="n">
        <x:v>46248</x:v>
      </x:c>
      <x:c r="B62" s="1" t="str">
        <x:v>BEBIDAS</x:v>
      </x:c>
      <x:c r="C62" s="7" t="n">
        <x:v>95</x:v>
      </x:c>
      <x:c r="D62" s="7" t="n">
        <x:v>86.6430961133185</x:v>
      </x:c>
      <x:c r="E62" s="8" t="n">
        <x:f>IF(C62=0,"",ABS((D62-C62)/C62))</x:f>
        <x:v>0.0879674093334894</x:v>
      </x:c>
    </x:row>
    <x:row r="63" ht="23" customHeight="1">
      <x:c r="A63" s="6" t="n">
        <x:v>46249</x:v>
      </x:c>
      <x:c r="B63" s="1" t="str">
        <x:v>BEBIDAS</x:v>
      </x:c>
      <x:c r="C63" s="7" t="n">
        <x:v>92</x:v>
      </x:c>
      <x:c r="D63" s="7" t="n">
        <x:v>86.644873450315</x:v>
      </x:c>
      <x:c r="E63" s="8" t="n">
        <x:f>IF(C63=0,"",ABS((D63-C63)/C63))</x:f>
        <x:v>0.058207897279184746</x:v>
      </x:c>
    </x:row>
    <x:row r="64" ht="23" customHeight="1">
      <x:c r="A64" s="6" t="n">
        <x:v>46250</x:v>
      </x:c>
      <x:c r="B64" s="1" t="str">
        <x:v>BEBIDAS</x:v>
      </x:c>
      <x:c r="C64" s="7" t="n">
        <x:v>105</x:v>
      </x:c>
      <x:c r="D64" s="7" t="n">
        <x:v>86.64402001067327</x:v>
      </x:c>
      <x:c r="E64" s="8" t="n">
        <x:f>IF(C64=0,"",ABS((D64-C64)/C64))</x:f>
        <x:v>0.17481885704120692</x:v>
      </x:c>
    </x:row>
    <x:row r="65" ht="23" customHeight="1">
      <x:c r="A65" s="6" t="n">
        <x:v>46221</x:v>
      </x:c>
      <x:c r="B65" s="1" t="str">
        <x:v>GOLOSINAS</x:v>
      </x:c>
      <x:c r="C65" s="7" t="n">
        <x:v>98</x:v>
      </x:c>
      <x:c r="D65" s="7" t="n">
        <x:v>73.42857142857143</x:v>
      </x:c>
      <x:c r="E65" s="8" t="n">
        <x:f>IF(C65=0,"",ABS((D65-C65)/C65))</x:f>
        <x:v>0.2507288629737609</x:v>
      </x:c>
    </x:row>
    <x:row r="66" ht="23" customHeight="1">
      <x:c r="A66" s="6" t="n">
        <x:v>46222</x:v>
      </x:c>
      <x:c r="B66" s="1" t="str">
        <x:v>GOLOSINAS</x:v>
      </x:c>
      <x:c r="C66" s="7" t="n">
        <x:v>63</x:v>
      </x:c>
      <x:c r="D66" s="7" t="n">
        <x:v>70.63265306122449</x:v>
      </x:c>
      <x:c r="E66" s="8" t="n">
        <x:f>IF(C66=0,"",ABS((D66-C66)/C66))</x:f>
        <x:v>0.1211532231940395</x:v>
      </x:c>
    </x:row>
    <x:row r="67" ht="23" customHeight="1">
      <x:c r="A67" s="6" t="n">
        <x:v>46223</x:v>
      </x:c>
      <x:c r="B67" s="1" t="str">
        <x:v>GOLOSINAS</x:v>
      </x:c>
      <x:c r="C67" s="7" t="n">
        <x:v>49</x:v>
      </x:c>
      <x:c r="D67" s="7" t="n">
        <x:v>71.00874635568513</x:v>
      </x:c>
      <x:c r="E67" s="8" t="n">
        <x:f>IF(C67=0,"",ABS((D67-C67)/C67))</x:f>
        <x:v>0.44915808889153336</x:v>
      </x:c>
    </x:row>
    <x:row r="68" ht="23" customHeight="1">
      <x:c r="A68" s="6" t="n">
        <x:v>46224</x:v>
      </x:c>
      <x:c r="B68" s="1" t="str">
        <x:v>GOLOSINAS</x:v>
      </x:c>
      <x:c r="C68" s="7" t="n">
        <x:v>75</x:v>
      </x:c>
      <x:c r="D68" s="7" t="n">
        <x:v>73.15285297792586</x:v>
      </x:c>
      <x:c r="E68" s="8" t="n">
        <x:f>IF(C68=0,"",ABS((D68-C68)/C68))</x:f>
        <x:v>0.024628626960988526</x:v>
      </x:c>
    </x:row>
    <x:row r="69" ht="23" customHeight="1">
      <x:c r="A69" s="6" t="n">
        <x:v>46225</x:v>
      </x:c>
      <x:c r="B69" s="1" t="str">
        <x:v>GOLOSINAS</x:v>
      </x:c>
      <x:c r="C69" s="7" t="n">
        <x:v>73</x:v>
      </x:c>
      <x:c r="D69" s="7" t="n">
        <x:v>74.60326054620099</x:v>
      </x:c>
      <x:c r="E69" s="8" t="n">
        <x:f>IF(C69=0,"",ABS((D69-C69)/C69))</x:f>
        <x:v>0.02196247323562994</x:v>
      </x:c>
    </x:row>
    <x:row r="70" ht="23" customHeight="1">
      <x:c r="A70" s="6" t="n">
        <x:v>46226</x:v>
      </x:c>
      <x:c r="B70" s="1" t="str">
        <x:v>GOLOSINAS</x:v>
      </x:c>
      <x:c r="C70" s="7" t="n">
        <x:v>61</x:v>
      </x:c>
      <x:c r="D70" s="7" t="n">
        <x:v>74.54658348137255</x:v>
      </x:c>
      <x:c r="E70" s="8" t="n">
        <x:f>IF(C70=0,"",ABS((D70-C70)/C70))</x:f>
        <x:v>0.22207513903889428</x:v>
      </x:c>
    </x:row>
    <x:row r="71" ht="23" customHeight="1">
      <x:c r="A71" s="6" t="n">
        <x:v>46227</x:v>
      </x:c>
      <x:c r="B71" s="1" t="str">
        <x:v>GOLOSINAS</x:v>
      </x:c>
      <x:c r="C71" s="7" t="n">
        <x:v>38</x:v>
      </x:c>
      <x:c r="D71" s="7" t="n">
        <x:v>74.4818096929972</x:v>
      </x:c>
      <x:c r="E71" s="8" t="n">
        <x:f>IF(C71=0,"",ABS((D71-C71)/C71))</x:f>
        <x:v>0.9600476234999263</x:v>
      </x:c>
    </x:row>
    <x:row r="72" ht="23" customHeight="1">
      <x:c r="A72" s="6" t="n">
        <x:v>46228</x:v>
      </x:c>
      <x:c r="B72" s="1" t="str">
        <x:v>GOLOSINAS</x:v>
      </x:c>
      <x:c r="C72" s="7" t="n">
        <x:v>72</x:v>
      </x:c>
      <x:c r="D72" s="7" t="n">
        <x:v>73.12206822056824</x:v>
      </x:c>
      <x:c r="E72" s="8" t="n">
        <x:f>IF(C72=0,"",ABS((D72-C72)/C72))</x:f>
        <x:v>0.015584280841225527</x:v>
      </x:c>
    </x:row>
    <x:row r="73" ht="23" customHeight="1">
      <x:c r="A73" s="6" t="n">
        <x:v>46229</x:v>
      </x:c>
      <x:c r="B73" s="1" t="str">
        <x:v>GOLOSINAS</x:v>
      </x:c>
      <x:c r="C73" s="7" t="n">
        <x:v>94</x:v>
      </x:c>
      <x:c r="D73" s="7" t="n">
        <x:v>73.07828204799635</x:v>
      </x:c>
      <x:c r="E73" s="8" t="n">
        <x:f>IF(C73=0,"",ABS((D73-C73)/C73))</x:f>
        <x:v>0.22257146757450688</x:v>
      </x:c>
    </x:row>
    <x:row r="74" ht="23" customHeight="1">
      <x:c r="A74" s="6" t="n">
        <x:v>46230</x:v>
      </x:c>
      <x:c r="B74" s="1" t="str">
        <x:v>GOLOSINAS</x:v>
      </x:c>
      <x:c r="C74" s="7" t="n">
        <x:v>79</x:v>
      </x:c>
      <x:c r="D74" s="7" t="n">
        <x:v>73.42765761753519</x:v>
      </x:c>
      <x:c r="E74" s="8" t="n">
        <x:f>IF(C74=0,"",ABS((D74-C74)/C74))</x:f>
        <x:v>0.07053597952487102</x:v>
      </x:c>
    </x:row>
    <x:row r="75" ht="23" customHeight="1">
      <x:c r="A75" s="6" t="n">
        <x:v>46231</x:v>
      </x:c>
      <x:c r="B75" s="1" t="str">
        <x:v>GOLOSINAS</x:v>
      </x:c>
      <x:c r="C75" s="7" t="n">
        <x:v>71</x:v>
      </x:c>
      <x:c r="D75" s="7" t="n">
        <x:v>73.77321636922805</x:v>
      </x:c>
      <x:c r="E75" s="8" t="n">
        <x:f>IF(C75=0,"",ABS((D75-C75)/C75))</x:f>
        <x:v>0.03905938548208524</x:v>
      </x:c>
    </x:row>
    <x:row r="76" ht="23" customHeight="1">
      <x:c r="A76" s="6" t="n">
        <x:v>46232</x:v>
      </x:c>
      <x:c r="B76" s="1" t="str">
        <x:v>GOLOSINAS</x:v>
      </x:c>
      <x:c r="C76" s="7" t="n">
        <x:v>60</x:v>
      </x:c>
      <x:c r="D76" s="7" t="n">
        <x:v>73.86183971084266</x:v>
      </x:c>
      <x:c r="E76" s="8" t="n">
        <x:f>IF(C76=0,"",ABS((D76-C76)/C76))</x:f>
        <x:v>0.23103066184737767</x:v>
      </x:c>
    </x:row>
    <x:row r="77" ht="23" customHeight="1">
      <x:c r="A77" s="6" t="n">
        <x:v>46233</x:v>
      </x:c>
      <x:c r="B77" s="1" t="str">
        <x:v>GOLOSINAS</x:v>
      </x:c>
      <x:c r="C77" s="7" t="n">
        <x:v>78</x:v>
      </x:c>
      <x:c r="D77" s="7" t="n">
        <x:v>73.7559224486486</x:v>
      </x:c>
      <x:c r="E77" s="8" t="n">
        <x:f>IF(C77=0,"",ABS((D77-C77)/C77))</x:f>
        <x:v>0.05441125065835122</x:v>
      </x:c>
    </x:row>
    <x:row r="78" ht="23" customHeight="1">
      <x:c r="A78" s="6" t="n">
        <x:v>46234</x:v>
      </x:c>
      <x:c r="B78" s="1" t="str">
        <x:v>GOLOSINAS</x:v>
      </x:c>
      <x:c r="C78" s="7" t="n">
        <x:v>81</x:v>
      </x:c>
      <x:c r="D78" s="7" t="n">
        <x:v>73.64297087254519</x:v>
      </x:c>
      <x:c r="E78" s="8" t="n">
        <x:f>IF(C78=0,"",ABS((D78-C78)/C78))</x:f>
        <x:v>0.09082752009203467</x:v>
      </x:c>
    </x:row>
    <x:row r="79" ht="23" customHeight="1">
      <x:c r="A79" s="6" t="n">
        <x:v>46235</x:v>
      </x:c>
      <x:c r="B79" s="1" t="str">
        <x:v>GOLOSINAS</x:v>
      </x:c>
      <x:c r="C79" s="7" t="n">
        <x:v>84</x:v>
      </x:c>
      <x:c r="D79" s="7" t="n">
        <x:v>73.52313675533776</x:v>
      </x:c>
      <x:c r="E79" s="8" t="n">
        <x:f>IF(C79=0,"",ABS((D79-C79)/C79))</x:f>
        <x:v>0.12472456243645524</x:v>
      </x:c>
    </x:row>
    <x:row r="80" ht="23" customHeight="1">
      <x:c r="A80" s="6" t="n">
        <x:v>46236</x:v>
      </x:c>
      <x:c r="B80" s="1" t="str">
        <x:v>GOLOSINAS</x:v>
      </x:c>
      <x:c r="C80" s="7" t="n">
        <x:v>95</x:v>
      </x:c>
      <x:c r="D80" s="7" t="n">
        <x:v>73.58043226030483</x:v>
      </x:c>
      <x:c r="E80" s="8" t="n">
        <x:f>IF(C80=0,"",ABS((D80-C80)/C80))</x:f>
        <x:v>0.2254691341020544</x:v>
      </x:c>
    </x:row>
    <x:row r="81" ht="23" customHeight="1">
      <x:c r="A81" s="6" t="n">
        <x:v>46237</x:v>
      </x:c>
      <x:c r="B81" s="1" t="str">
        <x:v>GOLOSINAS</x:v>
      </x:c>
      <x:c r="C81" s="7" t="n">
        <x:v>88</x:v>
      </x:c>
      <x:c r="D81" s="7" t="n">
        <x:v>73.65216800492033</x:v>
      </x:c>
      <x:c r="E81" s="8" t="n">
        <x:f>IF(C81=0,"",ABS((D81-C81)/C81))</x:f>
        <x:v>0.16304354539863264</x:v>
      </x:c>
    </x:row>
    <x:row r="82" ht="23" customHeight="1">
      <x:c r="A82" s="6" t="n">
        <x:v>46238</x:v>
      </x:c>
      <x:c r="B82" s="1" t="str">
        <x:v>GOLOSINAS</x:v>
      </x:c>
      <x:c r="C82" s="7" t="n">
        <x:v>53</x:v>
      </x:c>
      <x:c r="D82" s="7" t="n">
        <x:v>73.68424091740391</x:v>
      </x:c>
      <x:c r="E82" s="8" t="n">
        <x:f>IF(C82=0,"",ABS((D82-C82)/C82))</x:f>
        <x:v>0.3902686965547908</x:v>
      </x:c>
    </x:row>
    <x:row r="83" ht="23" customHeight="1">
      <x:c r="A83" s="6" t="n">
        <x:v>46239</x:v>
      </x:c>
      <x:c r="B83" s="1" t="str">
        <x:v>GOLOSINAS</x:v>
      </x:c>
      <x:c r="C83" s="7" t="n">
        <x:v>49</x:v>
      </x:c>
      <x:c r="D83" s="7" t="n">
        <x:v>73.6715301385719</x:v>
      </x:c>
      <x:c r="E83" s="8" t="n">
        <x:f>IF(C83=0,"",ABS((D83-C83)/C83))</x:f>
        <x:v>0.5035006150728958</x:v>
      </x:c>
    </x:row>
    <x:row r="84" ht="23" customHeight="1">
      <x:c r="A84" s="6" t="n">
        <x:v>46240</x:v>
      </x:c>
      <x:c r="B84" s="1" t="str">
        <x:v>GOLOSINAS</x:v>
      </x:c>
      <x:c r="C84" s="7" t="n">
        <x:v>79</x:v>
      </x:c>
      <x:c r="D84" s="7" t="n">
        <x:v>73.64434305681893</x:v>
      </x:c>
      <x:c r="E84" s="8" t="n">
        <x:f>IF(C84=0,"",ABS((D84-C84)/C84))</x:f>
        <x:v>0.06779312586305157</x:v>
      </x:c>
    </x:row>
    <x:row r="85" ht="23" customHeight="1">
      <x:c r="A85" s="6" t="n">
        <x:v>46241</x:v>
      </x:c>
      <x:c r="B85" s="1" t="str">
        <x:v>GOLOSINAS</x:v>
      </x:c>
      <x:c r="C85" s="7" t="n">
        <x:v>73</x:v>
      </x:c>
      <x:c r="D85" s="7" t="n">
        <x:v>73.62840314370041</x:v>
      </x:c>
      <x:c r="E85" s="8" t="n">
        <x:f>IF(C85=0,"",ABS((D85-C85)/C85))</x:f>
        <x:v>0.008608262242471373</x:v>
      </x:c>
    </x:row>
    <x:row r="86" ht="23" customHeight="1">
      <x:c r="A86" s="6" t="n">
        <x:v>46242</x:v>
      </x:c>
      <x:c r="B86" s="1" t="str">
        <x:v>GOLOSINAS</x:v>
      </x:c>
      <x:c r="C86" s="7" t="n">
        <x:v>95</x:v>
      </x:c>
      <x:c r="D86" s="7" t="n">
        <x:v>73.62632203957972</x:v>
      </x:c>
      <x:c r="E86" s="8" t="n">
        <x:f>IF(C86=0,"",ABS((D86-C86)/C86))</x:f>
        <x:v>0.2249860837938977</x:v>
      </x:c>
    </x:row>
    <x:row r="87" ht="23" customHeight="1">
      <x:c r="A87" s="6" t="n">
        <x:v>46243</x:v>
      </x:c>
      <x:c r="B87" s="1" t="str">
        <x:v>GOLOSINAS</x:v>
      </x:c>
      <x:c r="C87" s="7" t="n">
        <x:v>89</x:v>
      </x:c>
      <x:c r="D87" s="7" t="n">
        <x:v>73.64106279447144</x:v>
      </x:c>
      <x:c r="E87" s="8" t="n">
        <x:f>IF(C87=0,"",ABS((D87-C87)/C87))</x:f>
        <x:v>0.17257232815200632</x:v>
      </x:c>
    </x:row>
    <x:row r="88" ht="23" customHeight="1">
      <x:c r="A88" s="6" t="n">
        <x:v>46244</x:v>
      </x:c>
      <x:c r="B88" s="1" t="str">
        <x:v>GOLOSINAS</x:v>
      </x:c>
      <x:c r="C88" s="7" t="n">
        <x:v>67</x:v>
      </x:c>
      <x:c r="D88" s="7" t="n">
        <x:v>73.64972429935237</x:v>
      </x:c>
      <x:c r="E88" s="8" t="n">
        <x:f>IF(C88=0,"",ABS((D88-C88)/C88))</x:f>
        <x:v>0.09924961640824435</x:v>
      </x:c>
    </x:row>
    <x:row r="89" ht="23" customHeight="1">
      <x:c r="A89" s="6" t="n">
        <x:v>46245</x:v>
      </x:c>
      <x:c r="B89" s="1" t="str">
        <x:v>GOLOSINAS</x:v>
      </x:c>
      <x:c r="C89" s="7" t="n">
        <x:v>77</x:v>
      </x:c>
      <x:c r="D89" s="7" t="n">
        <x:v>73.64937519855695</x:v>
      </x:c>
      <x:c r="E89" s="8" t="n">
        <x:f>IF(C89=0,"",ABS((D89-C89)/C89))</x:f>
        <x:v>0.04351460781094866</x:v>
      </x:c>
    </x:row>
    <x:row r="90" ht="23" customHeight="1">
      <x:c r="A90" s="6" t="n">
        <x:v>46246</x:v>
      </x:c>
      <x:c r="B90" s="1" t="str">
        <x:v>GOLOSINAS</x:v>
      </x:c>
      <x:c r="C90" s="7" t="n">
        <x:v>80</x:v>
      </x:c>
      <x:c r="D90" s="7" t="n">
        <x:v>73.64439438157882</x:v>
      </x:c>
      <x:c r="E90" s="8" t="n">
        <x:f>IF(C90=0,"",ABS((D90-C90)/C90))</x:f>
        <x:v>0.07944507023026474</x:v>
      </x:c>
    </x:row>
    <x:row r="91" ht="23" customHeight="1">
      <x:c r="A91" s="6" t="n">
        <x:v>46247</x:v>
      </x:c>
      <x:c r="B91" s="1" t="str">
        <x:v>GOLOSINAS</x:v>
      </x:c>
      <x:c r="C91" s="7" t="n">
        <x:v>62</x:v>
      </x:c>
      <x:c r="D91" s="7" t="n">
        <x:v>73.64051784486551</x:v>
      </x:c>
      <x:c r="E91" s="8" t="n">
        <x:f>IF(C91=0,"",ABS((D91-C91)/C91))</x:f>
        <x:v>0.1877502878204115</x:v>
      </x:c>
    </x:row>
    <x:row r="92" ht="23" customHeight="1">
      <x:c r="A92" s="6" t="n">
        <x:v>46248</x:v>
      </x:c>
      <x:c r="B92" s="1" t="str">
        <x:v>GOLOSINAS</x:v>
      </x:c>
      <x:c r="C92" s="7" t="n">
        <x:v>98</x:v>
      </x:c>
      <x:c r="D92" s="7" t="n">
        <x:v>73.63997138601503</x:v>
      </x:c>
      <x:c r="E92" s="8" t="n">
        <x:f>IF(C92=0,"",ABS((D92-C92)/C92))</x:f>
        <x:v>0.248571720550867</x:v>
      </x:c>
    </x:row>
    <x:row r="93" ht="23" customHeight="1">
      <x:c r="A93" s="6" t="n">
        <x:v>46249</x:v>
      </x:c>
      <x:c r="B93" s="1" t="str">
        <x:v>GOLOSINAS</x:v>
      </x:c>
      <x:c r="C93" s="7" t="n">
        <x:v>92</x:v>
      </x:c>
      <x:c r="D93" s="7" t="n">
        <x:v>73.64162399205998</x:v>
      </x:c>
      <x:c r="E93" s="8" t="n">
        <x:f>IF(C93=0,"",ABS((D93-C93)/C93))</x:f>
        <x:v>0.1995475653036959</x:v>
      </x:c>
    </x:row>
    <x:row r="94" ht="23" customHeight="1">
      <x:c r="A94" s="6" t="n">
        <x:v>46250</x:v>
      </x:c>
      <x:c r="B94" s="1" t="str">
        <x:v>GOLOSINAS</x:v>
      </x:c>
      <x:c r="C94" s="7" t="n">
        <x:v>45</x:v>
      </x:c>
      <x:c r="D94" s="7" t="n">
        <x:v>73.64380998527145</x:v>
      </x:c>
      <x:c r="E94" s="8" t="n">
        <x:f>IF(C94=0,"",ABS((D94-C94)/C94))</x:f>
        <x:v>0.6365291107838099</x:v>
      </x:c>
    </x:row>
    <x:row r="95" ht="23" customHeight="1">
      <x:c r="A95" s="6" t="n">
        <x:v>46221</x:v>
      </x:c>
      <x:c r="B95" s="1" t="str">
        <x:v>HELADOS</x:v>
      </x:c>
      <x:c r="C95" s="7" t="n">
        <x:v>30</x:v>
      </x:c>
      <x:c r="D95" s="7" t="n">
        <x:v>24.857142857142858</x:v>
      </x:c>
      <x:c r="E95" s="8" t="n">
        <x:f>IF(C95=0,"",ABS((D95-C95)/C95))</x:f>
        <x:v>0.1714285714285714</x:v>
      </x:c>
    </x:row>
    <x:row r="96" ht="23" customHeight="1">
      <x:c r="A96" s="6" t="n">
        <x:v>46222</x:v>
      </x:c>
      <x:c r="B96" s="1" t="str">
        <x:v>HELADOS</x:v>
      </x:c>
      <x:c r="C96" s="7" t="n">
        <x:v>19</x:v>
      </x:c>
      <x:c r="D96" s="7" t="n">
        <x:v>25.26530612244898</x:v>
      </x:c>
      <x:c r="E96" s="8" t="n">
        <x:f>IF(C96=0,"",ABS((D96-C96)/C96))</x:f>
        <x:v>0.3297529538131042</x:v>
      </x:c>
    </x:row>
    <x:row r="97" ht="23" customHeight="1">
      <x:c r="A97" s="6" t="n">
        <x:v>46223</x:v>
      </x:c>
      <x:c r="B97" s="1" t="str">
        <x:v>HELADOS</x:v>
      </x:c>
      <x:c r="C97" s="7" t="n">
        <x:v>12</x:v>
      </x:c>
      <x:c r="D97" s="7" t="n">
        <x:v>25.303206997084548</x:v>
      </x:c>
      <x:c r="E97" s="8" t="n">
        <x:f>IF(C97=0,"",ABS((D97-C97)/C97))</x:f>
        <x:v>1.108600583090379</x:v>
      </x:c>
    </x:row>
    <x:row r="98" ht="23" customHeight="1">
      <x:c r="A98" s="6" t="n">
        <x:v>46224</x:v>
      </x:c>
      <x:c r="B98" s="1" t="str">
        <x:v>HELADOS</x:v>
      </x:c>
      <x:c r="C98" s="7" t="n">
        <x:v>29</x:v>
      </x:c>
      <x:c r="D98" s="7" t="n">
        <x:v>26.2036651395252</x:v>
      </x:c>
      <x:c r="E98" s="8" t="n">
        <x:f>IF(C98=0,"",ABS((D98-C98)/C98))</x:f>
        <x:v>0.09642534001637243</x:v>
      </x:c>
    </x:row>
    <x:row r="99" ht="23" customHeight="1">
      <x:c r="A99" s="6" t="n">
        <x:v>46225</x:v>
      </x:c>
      <x:c r="B99" s="1" t="str">
        <x:v>HELADOS</x:v>
      </x:c>
      <x:c r="C99" s="7" t="n">
        <x:v>14</x:v>
      </x:c>
      <x:c r="D99" s="7" t="n">
        <x:v>26.661331588028798</x:v>
      </x:c>
      <x:c r="E99" s="8" t="n">
        <x:f>IF(C99=0,"",ABS((D99-C99)/C99))</x:f>
        <x:v>0.9043808277163427</x:v>
      </x:c>
    </x:row>
    <x:row r="100" ht="23" customHeight="1">
      <x:c r="A100" s="6" t="n">
        <x:v>46226</x:v>
      </x:c>
      <x:c r="B100" s="1" t="str">
        <x:v>HELADOS</x:v>
      </x:c>
      <x:c r="C100" s="7" t="n">
        <x:v>17</x:v>
      </x:c>
      <x:c r="D100" s="7" t="n">
        <x:v>27.612950386318627</x:v>
      </x:c>
      <x:c r="E100" s="8" t="n">
        <x:f>IF(C100=0,"",ABS((D100-C100)/C100))</x:f>
        <x:v>0.6242911991952134</x:v>
      </x:c>
    </x:row>
    <x:row r="101" ht="23" customHeight="1">
      <x:c r="A101" s="6" t="n">
        <x:v>46227</x:v>
      </x:c>
      <x:c r="B101" s="1" t="str">
        <x:v>HELADOS</x:v>
      </x:c>
      <x:c r="C101" s="7" t="n">
        <x:v>24</x:v>
      </x:c>
      <x:c r="D101" s="7" t="n">
        <x:v>27.27194329864986</x:v>
      </x:c>
      <x:c r="E101" s="8" t="n">
        <x:f>IF(C101=0,"",ABS((D101-C101)/C101))</x:f>
        <x:v>0.13633097077707745</x:v>
      </x:c>
    </x:row>
    <x:row r="102" ht="23" customHeight="1">
      <x:c r="A102" s="6" t="n">
        <x:v>46228</x:v>
      </x:c>
      <x:c r="B102" s="1" t="str">
        <x:v>HELADOS</x:v>
      </x:c>
      <x:c r="C102" s="7" t="n">
        <x:v>26</x:v>
      </x:c>
      <x:c r="D102" s="7" t="n">
        <x:v>26.16793519845698</x:v>
      </x:c>
      <x:c r="E102" s="8" t="n">
        <x:f>IF(C102=0,"",ABS((D102-C102)/C102))</x:f>
        <x:v>0.006459046094499253</x:v>
      </x:c>
    </x:row>
    <x:row r="103" ht="23" customHeight="1">
      <x:c r="A103" s="6" t="n">
        <x:v>46229</x:v>
      </x:c>
      <x:c r="B103" s="1" t="str">
        <x:v>HELADOS</x:v>
      </x:c>
      <x:c r="C103" s="7" t="n">
        <x:v>32</x:v>
      </x:c>
      <x:c r="D103" s="7" t="n">
        <x:v>26.35519124721614</x:v>
      </x:c>
      <x:c r="E103" s="8" t="n">
        <x:f>IF(C103=0,"",ABS((D103-C103)/C103))</x:f>
        <x:v>0.1764002735244956</x:v>
      </x:c>
    </x:row>
    <x:row r="104" ht="23" customHeight="1">
      <x:c r="A104" s="6" t="n">
        <x:v>46230</x:v>
      </x:c>
      <x:c r="B104" s="1" t="str">
        <x:v>HELADOS</x:v>
      </x:c>
      <x:c r="C104" s="7" t="n">
        <x:v>36</x:v>
      </x:c>
      <x:c r="D104" s="7" t="n">
        <x:v>26.510889122182878</x:v>
      </x:c>
      <x:c r="E104" s="8" t="n">
        <x:f>IF(C104=0,"",ABS((D104-C104)/C104))</x:f>
        <x:v>0.26358641327269783</x:v>
      </x:c>
    </x:row>
    <x:row r="105" ht="23" customHeight="1">
      <x:c r="A105" s="6" t="n">
        <x:v>46231</x:v>
      </x:c>
      <x:c r="B105" s="1" t="str">
        <x:v>HELADOS</x:v>
      </x:c>
      <x:c r="C105" s="7" t="n">
        <x:v>12</x:v>
      </x:c>
      <x:c r="D105" s="7" t="n">
        <x:v>26.68341514005407</x:v>
      </x:c>
      <x:c r="E105" s="8" t="n">
        <x:f>IF(C105=0,"",ABS((D105-C105)/C105))</x:f>
        <x:v>1.2236179283378392</x:v>
      </x:c>
    </x:row>
    <x:row r="106" ht="23" customHeight="1">
      <x:c r="A106" s="6" t="n">
        <x:v>46232</x:v>
      </x:c>
      <x:c r="B106" s="1" t="str">
        <x:v>HELADOS</x:v>
      </x:c>
      <x:c r="C106" s="7" t="n">
        <x:v>20</x:v>
      </x:c>
      <x:c r="D106" s="7" t="n">
        <x:v>26.751950854415337</x:v>
      </x:c>
      <x:c r="E106" s="8" t="n">
        <x:f>IF(C106=0,"",ABS((D106-C106)/C106))</x:f>
        <x:v>0.33759754272076686</x:v>
      </x:c>
    </x:row>
    <x:row r="107" ht="23" customHeight="1">
      <x:c r="A107" s="6" t="n">
        <x:v>46233</x:v>
      </x:c>
      <x:c r="B107" s="1" t="str">
        <x:v>HELADOS</x:v>
      </x:c>
      <x:c r="C107" s="7" t="n">
        <x:v>21</x:v>
      </x:c>
      <x:c r="D107" s="7" t="n">
        <x:v>26.764896463899127</x:v>
      </x:c>
      <x:c r="E107" s="8" t="n">
        <x:f>IF(C107=0,"",ABS((D107-C107)/C107))</x:f>
        <x:v>0.27451887923329177</x:v>
      </x:c>
    </x:row>
    <x:row r="108" ht="23" customHeight="1">
      <x:c r="A108" s="6" t="n">
        <x:v>46234</x:v>
      </x:c>
      <x:c r="B108" s="1" t="str">
        <x:v>HELADOS</x:v>
      </x:c>
      <x:c r="C108" s="7" t="n">
        <x:v>15</x:v>
      </x:c>
      <x:c r="D108" s="7" t="n">
        <x:v>26.643745903553484</x:v>
      </x:c>
      <x:c r="E108" s="8" t="n">
        <x:f>IF(C108=0,"",ABS((D108-C108)/C108))</x:f>
        <x:v>0.7762497269035655</x:v>
      </x:c>
    </x:row>
    <x:row r="109" ht="23" customHeight="1">
      <x:c r="A109" s="6" t="n">
        <x:v>46235</x:v>
      </x:c>
      <x:c r="B109" s="1" t="str">
        <x:v>HELADOS</x:v>
      </x:c>
      <x:c r="C109" s="7" t="n">
        <x:v>29</x:v>
      </x:c>
      <x:c r="D109" s="7" t="n">
        <x:v>26.55400341853972</x:v>
      </x:c>
      <x:c r="E109" s="8" t="n">
        <x:f>IF(C109=0,"",ABS((D109-C109)/C109))</x:f>
        <x:v>0.08434470970552696</x:v>
      </x:c>
    </x:row>
    <x:row r="110" ht="23" customHeight="1">
      <x:c r="A110" s="6" t="n">
        <x:v>46236</x:v>
      </x:c>
      <x:c r="B110" s="1" t="str">
        <x:v>HELADOS</x:v>
      </x:c>
      <x:c r="C110" s="7" t="n">
        <x:v>31</x:v>
      </x:c>
      <x:c r="D110" s="7" t="n">
        <x:v>26.60915602140868</x:v>
      </x:c>
      <x:c r="E110" s="8" t="n">
        <x:f>IF(C110=0,"",ABS((D110-C110)/C110))</x:f>
        <x:v>0.14164012834165549</x:v>
      </x:c>
    </x:row>
    <x:row r="111" ht="23" customHeight="1">
      <x:c r="A111" s="6" t="n">
        <x:v>46237</x:v>
      </x:c>
      <x:c r="B111" s="1" t="str">
        <x:v>HELADOS</x:v>
      </x:c>
      <x:c r="C111" s="7" t="n">
        <x:v>25</x:v>
      </x:c>
      <x:c r="D111" s="7" t="n">
        <x:v>26.645436703436186</x:v>
      </x:c>
      <x:c r="E111" s="8" t="n">
        <x:f>IF(C111=0,"",ABS((D111-C111)/C111))</x:f>
        <x:v>0.06581746813744743</x:v>
      </x:c>
    </x:row>
    <x:row r="112" ht="23" customHeight="1">
      <x:c r="A112" s="6" t="n">
        <x:v>46238</x:v>
      </x:c>
      <x:c r="B112" s="1" t="str">
        <x:v>HELADOS</x:v>
      </x:c>
      <x:c r="C112" s="7" t="n">
        <x:v>28</x:v>
      </x:c>
      <x:c r="D112" s="7" t="n">
        <x:v>26.66465778647237</x:v>
      </x:c>
      <x:c r="E112" s="8" t="n">
        <x:f>IF(C112=0,"",ABS((D112-C112)/C112))</x:f>
        <x:v>0.04769079334027244</x:v>
      </x:c>
    </x:row>
    <x:row r="113" ht="23" customHeight="1">
      <x:c r="A113" s="6" t="n">
        <x:v>46239</x:v>
      </x:c>
      <x:c r="B113" s="1" t="str">
        <x:v>HELADOS</x:v>
      </x:c>
      <x:c r="C113" s="7" t="n">
        <x:v>15</x:v>
      </x:c>
      <x:c r="D113" s="7" t="n">
        <x:v>26.66197816453213</x:v>
      </x:c>
      <x:c r="E113" s="8" t="n">
        <x:f>IF(C113=0,"",ABS((D113-C113)/C113))</x:f>
        <x:v>0.7774652109688086</x:v>
      </x:c>
    </x:row>
    <x:row r="114" ht="23" customHeight="1">
      <x:c r="A114" s="6" t="n">
        <x:v>46240</x:v>
      </x:c>
      <x:c r="B114" s="1" t="str">
        <x:v>HELADOS</x:v>
      </x:c>
      <x:c r="C114" s="7" t="n">
        <x:v>34</x:v>
      </x:c>
      <x:c r="D114" s="7" t="n">
        <x:v>26.649124923120244</x:v>
      </x:c>
      <x:c r="E114" s="8" t="n">
        <x:f>IF(C114=0,"",ABS((D114-C114)/C114))</x:f>
        <x:v>0.21620220814352223</x:v>
      </x:c>
    </x:row>
    <x:row r="115" ht="23" customHeight="1">
      <x:c r="A115" s="6" t="n">
        <x:v>46241</x:v>
      </x:c>
      <x:c r="B115" s="1" t="str">
        <x:v>HELADOS</x:v>
      </x:c>
      <x:c r="C115" s="7" t="n">
        <x:v>31</x:v>
      </x:c>
      <x:c r="D115" s="7" t="n">
        <x:v>26.632586131580403</x:v>
      </x:c>
      <x:c r="E115" s="8" t="n">
        <x:f>IF(C115=0,"",ABS((D115-C115)/C115))</x:f>
        <x:v>0.14088431833611603</x:v>
      </x:c>
    </x:row>
    <x:row r="116" ht="23" customHeight="1">
      <x:c r="A116" s="6" t="n">
        <x:v>46242</x:v>
      </x:c>
      <x:c r="B116" s="1" t="str">
        <x:v>HELADOS</x:v>
      </x:c>
      <x:c r="C116" s="7" t="n">
        <x:v>49</x:v>
      </x:c>
      <x:c r="D116" s="7" t="n">
        <x:v>26.63099187844139</x:v>
      </x:c>
      <x:c r="E116" s="8" t="n">
        <x:f>IF(C116=0,"",ABS((D116-C116)/C116))</x:f>
        <x:v>0.45651036982772675</x:v>
      </x:c>
    </x:row>
    <x:row r="117" ht="23" customHeight="1">
      <x:c r="A117" s="6" t="n">
        <x:v>46243</x:v>
      </x:c>
      <x:c r="B117" s="1" t="str">
        <x:v>HELADOS</x:v>
      </x:c>
      <x:c r="C117" s="7" t="n">
        <x:v>21</x:v>
      </x:c>
      <x:c r="D117" s="7" t="n">
        <x:v>26.641990229855914</x:v>
      </x:c>
      <x:c r="E117" s="8" t="n">
        <x:f>IF(C117=0,"",ABS((D117-C117)/C117))</x:f>
        <x:v>0.26866620142171016</x:v>
      </x:c>
    </x:row>
    <x:row r="118" ht="23" customHeight="1">
      <x:c r="A118" s="6" t="n">
        <x:v>46244</x:v>
      </x:c>
      <x:c r="B118" s="1" t="str">
        <x:v>HELADOS</x:v>
      </x:c>
      <x:c r="C118" s="7" t="n">
        <x:v>23</x:v>
      </x:c>
      <x:c r="D118" s="7" t="n">
        <x:v>26.646680831062664</x:v>
      </x:c>
      <x:c r="E118" s="8" t="n">
        <x:f>IF(C118=0,"",ABS((D118-C118)/C118))</x:f>
        <x:v>0.15855134048098538</x:v>
      </x:c>
    </x:row>
    <x:row r="119" ht="23" customHeight="1">
      <x:c r="A119" s="6" t="n">
        <x:v>46245</x:v>
      </x:c>
      <x:c r="B119" s="1" t="str">
        <x:v>HELADOS</x:v>
      </x:c>
      <x:c r="C119" s="7" t="n">
        <x:v>16</x:v>
      </x:c>
      <x:c r="D119" s="7" t="n">
        <x:v>26.646858563580732</x:v>
      </x:c>
      <x:c r="E119" s="8" t="n">
        <x:f>IF(C119=0,"",ABS((D119-C119)/C119))</x:f>
        <x:v>0.6654286602237958</x:v>
      </x:c>
    </x:row>
    <x:row r="120" ht="23" customHeight="1">
      <x:c r="A120" s="6" t="n">
        <x:v>46246</x:v>
      </x:c>
      <x:c r="B120" s="1" t="str">
        <x:v>HELADOS</x:v>
      </x:c>
      <x:c r="C120" s="7" t="n">
        <x:v>18</x:v>
      </x:c>
      <x:c r="D120" s="7" t="n">
        <x:v>26.644315817453354</x:v>
      </x:c>
      <x:c r="E120" s="8" t="n">
        <x:f>IF(C120=0,"",ABS((D120-C120)/C120))</x:f>
        <x:v>0.48023976763629744</x:v>
      </x:c>
    </x:row>
    <x:row r="121" ht="23" customHeight="1">
      <x:c r="A121" s="6" t="n">
        <x:v>46247</x:v>
      </x:c>
      <x:c r="B121" s="1" t="str">
        <x:v>HELADOS</x:v>
      </x:c>
      <x:c r="C121" s="7" t="n">
        <x:v>15</x:v>
      </x:c>
      <x:c r="D121" s="7" t="n">
        <x:v>26.64179262501353</x:v>
      </x:c>
      <x:c r="E121" s="8" t="n">
        <x:f>IF(C121=0,"",ABS((D121-C121)/C121))</x:f>
        <x:v>0.7761195083342353</x:v>
      </x:c>
    </x:row>
    <x:row r="122" ht="23" customHeight="1">
      <x:c r="A122" s="6" t="n">
        <x:v>46248</x:v>
      </x:c>
      <x:c r="B122" s="1" t="str">
        <x:v>HELADOS</x:v>
      </x:c>
      <x:c r="C122" s="7" t="n">
        <x:v>15</x:v>
      </x:c>
      <x:c r="D122" s="7" t="n">
        <x:v>26.640745153855427</x:v>
      </x:c>
      <x:c r="E122" s="8" t="n">
        <x:f>IF(C122=0,"",ABS((D122-C122)/C122))</x:f>
        <x:v>0.7760496769236951</x:v>
      </x:c>
    </x:row>
    <x:row r="123" ht="23" customHeight="1">
      <x:c r="A123" s="6" t="n">
        <x:v>46249</x:v>
      </x:c>
      <x:c r="B123" s="1" t="str">
        <x:v>HELADOS</x:v>
      </x:c>
      <x:c r="C123" s="7" t="n">
        <x:v>22</x:v>
      </x:c>
      <x:c r="D123" s="7" t="n">
        <x:v>26.641910728466144</x:v>
      </x:c>
      <x:c r="E123" s="8" t="n">
        <x:f>IF(C123=0,"",ABS((D123-C123)/C123))</x:f>
        <x:v>0.21099594220300652</x:v>
      </x:c>
    </x:row>
    <x:row r="124" ht="23" customHeight="1">
      <x:c r="A124" s="6" t="n">
        <x:v>46250</x:v>
      </x:c>
      <x:c r="B124" s="1" t="str">
        <x:v>HELADOS</x:v>
      </x:c>
      <x:c r="C124" s="7" t="n">
        <x:v>36</x:v>
      </x:c>
      <x:c r="D124" s="7" t="n">
        <x:v>26.643470564183968</x:v>
      </x:c>
      <x:c r="E124" s="8" t="n">
        <x:f>IF(C124=0,"",ABS((D124-C124)/C124))</x:f>
        <x:v>0.2599035954393342</x:v>
      </x:c>
    </x:row>
    <x:row r="125" ht="23" customHeight="1">
      <x:c r="A125" s="6" t="n">
        <x:v>46221</x:v>
      </x:c>
      <x:c r="B125" s="1" t="str">
        <x:v>LIMPIEZA</x:v>
      </x:c>
      <x:c r="C125" s="7" t="n">
        <x:v>10</x:v>
      </x:c>
      <x:c r="D125" s="7" t="n">
        <x:v>18.285714285714285</x:v>
      </x:c>
      <x:c r="E125" s="8" t="n">
        <x:f>IF(C125=0,"",ABS((D125-C125)/C125))</x:f>
        <x:v>0.8285714285714285</x:v>
      </x:c>
    </x:row>
    <x:row r="126" ht="23" customHeight="1">
      <x:c r="A126" s="6" t="n">
        <x:v>46222</x:v>
      </x:c>
      <x:c r="B126" s="1" t="str">
        <x:v>LIMPIEZA</x:v>
      </x:c>
      <x:c r="C126" s="7" t="n">
        <x:v>18</x:v>
      </x:c>
      <x:c r="D126" s="7" t="n">
        <x:v>18.040816326530614</x:v>
      </x:c>
      <x:c r="E126" s="8" t="n">
        <x:f>IF(C126=0,"",ABS((D126-C126)/C126))</x:f>
        <x:v>0.002267573696145201</x:v>
      </x:c>
    </x:row>
    <x:row r="127" ht="23" customHeight="1">
      <x:c r="A127" s="6" t="n">
        <x:v>46223</x:v>
      </x:c>
      <x:c r="B127" s="1" t="str">
        <x:v>LIMPIEZA</x:v>
      </x:c>
      <x:c r="C127" s="7" t="n">
        <x:v>17</x:v>
      </x:c>
      <x:c r="D127" s="7" t="n">
        <x:v>18.0466472303207</x:v>
      </x:c>
      <x:c r="E127" s="8" t="n">
        <x:f>IF(C127=0,"",ABS((D127-C127)/C127))</x:f>
        <x:v>0.06156748413651184</x:v>
      </x:c>
    </x:row>
    <x:row r="128" ht="23" customHeight="1">
      <x:c r="A128" s="6" t="n">
        <x:v>46224</x:v>
      </x:c>
      <x:c r="B128" s="1" t="str">
        <x:v>LIMPIEZA</x:v>
      </x:c>
      <x:c r="C128" s="7" t="n">
        <x:v>25</x:v>
      </x:c>
      <x:c r="D128" s="7" t="n">
        <x:v>17.196168263223658</x:v>
      </x:c>
      <x:c r="E128" s="8" t="n">
        <x:f>IF(C128=0,"",ABS((D128-C128)/C128))</x:f>
        <x:v>0.31215326947105365</x:v>
      </x:c>
    </x:row>
    <x:row r="129" ht="23" customHeight="1">
      <x:c r="A129" s="6" t="n">
        <x:v>46225</x:v>
      </x:c>
      <x:c r="B129" s="1" t="str">
        <x:v>LIMPIEZA</x:v>
      </x:c>
      <x:c r="C129" s="7" t="n">
        <x:v>27</x:v>
      </x:c>
      <x:c r="D129" s="7" t="n">
        <x:v>18.081335157969892</x:v>
      </x:c>
      <x:c r="E129" s="8" t="n">
        <x:f>IF(C129=0,"",ABS((D129-C129)/C129))</x:f>
        <x:v>0.33032092007518915</x:v>
      </x:c>
    </x:row>
    <x:row r="130" ht="23" customHeight="1">
      <x:c r="A130" s="6" t="n">
        <x:v>46226</x:v>
      </x:c>
      <x:c r="B130" s="1" t="str">
        <x:v>LIMPIEZA</x:v>
      </x:c>
      <x:c r="C130" s="7" t="n">
        <x:v>16</x:v>
      </x:c>
      <x:c r="D130" s="7" t="n">
        <x:v>17.37866875196559</x:v>
      </x:c>
      <x:c r="E130" s="8" t="n">
        <x:f>IF(C130=0,"",ABS((D130-C130)/C130))</x:f>
        <x:v>0.08616679699784946</x:v>
      </x:c>
    </x:row>
    <x:row r="131" ht="23" customHeight="1">
      <x:c r="A131" s="6" t="n">
        <x:v>46227</x:v>
      </x:c>
      <x:c r="B131" s="1" t="str">
        <x:v>LIMPIEZA</x:v>
      </x:c>
      <x:c r="C131" s="7" t="n">
        <x:v>23</x:v>
      </x:c>
      <x:c r="D131" s="7" t="n">
        <x:v>17.718478573674965</x:v>
      </x:c>
      <x:c r="E131" s="8" t="n">
        <x:f>IF(C131=0,"",ABS((D131-C131)/C131))</x:f>
        <x:v>0.22963136636195805</x:v>
      </x:c>
    </x:row>
    <x:row r="132" ht="23" customHeight="1">
      <x:c r="A132" s="6" t="n">
        <x:v>46228</x:v>
      </x:c>
      <x:c r="B132" s="1" t="str">
        <x:v>LIMPIEZA</x:v>
      </x:c>
      <x:c r="C132" s="7" t="n">
        <x:v>22</x:v>
      </x:c>
      <x:c r="D132" s="7" t="n">
        <x:v>17.821118369914245</x:v>
      </x:c>
      <x:c r="E132" s="8" t="n">
        <x:f>IF(C132=0,"",ABS((D132-C132)/C132))</x:f>
        <x:v>0.18994916500389794</x:v>
      </x:c>
    </x:row>
    <x:row r="133" ht="23" customHeight="1">
      <x:c r="A133" s="6" t="n">
        <x:v>46229</x:v>
      </x:c>
      <x:c r="B133" s="1" t="str">
        <x:v>LIMPIEZA</x:v>
      </x:c>
      <x:c r="C133" s="7" t="n">
        <x:v>19</x:v>
      </x:c>
      <x:c r="D133" s="7" t="n">
        <x:v>17.754747524799953</x:v>
      </x:c>
      <x:c r="E133" s="8" t="n">
        <x:f>IF(C133=0,"",ABS((D133-C133)/C133))</x:f>
        <x:v>0.06553960395789722</x:v>
      </x:c>
    </x:row>
    <x:row r="134" ht="23" customHeight="1">
      <x:c r="A134" s="6" t="n">
        <x:v>46230</x:v>
      </x:c>
      <x:c r="B134" s="1" t="str">
        <x:v>LIMPIEZA</x:v>
      </x:c>
      <x:c r="C134" s="7" t="n">
        <x:v>12</x:v>
      </x:c>
      <x:c r="D134" s="7" t="n">
        <x:v>17.713880553124145</x:v>
      </x:c>
      <x:c r="E134" s="8" t="n">
        <x:f>IF(C134=0,"",ABS((D134-C134)/C134))</x:f>
        <x:v>0.47615671276034544</x:v>
      </x:c>
    </x:row>
    <x:row r="135" ht="23" customHeight="1">
      <x:c r="A135" s="6" t="n">
        <x:v>46231</x:v>
      </x:c>
      <x:c r="B135" s="1" t="str">
        <x:v>LIMPIEZA</x:v>
      </x:c>
      <x:c r="C135" s="7" t="n">
        <x:v>7</x:v>
      </x:c>
      <x:c r="D135" s="7" t="n">
        <x:v>17.666342456381777</x:v>
      </x:c>
      <x:c r="E135" s="8" t="n">
        <x:f>IF(C135=0,"",ABS((D135-C135)/C135))</x:f>
        <x:v>1.5237632080545396</x:v>
      </x:c>
    </x:row>
    <x:row r="136" ht="23" customHeight="1">
      <x:c r="A136" s="6" t="n">
        <x:v>46232</x:v>
      </x:c>
      <x:c r="B136" s="1" t="str">
        <x:v>LIMPIEZA</x:v>
      </x:c>
      <x:c r="C136" s="7" t="n">
        <x:v>18</x:v>
      </x:c>
      <x:c r="D136" s="7" t="n">
        <x:v>17.73351019826151</x:v>
      </x:c>
      <x:c r="E136" s="8" t="n">
        <x:f>IF(C136=0,"",ABS((D136-C136)/C136))</x:f>
        <x:v>0.014804988985471704</x:v>
      </x:c>
    </x:row>
    <x:row r="137" ht="23" customHeight="1">
      <x:c r="A137" s="6" t="n">
        <x:v>46233</x:v>
      </x:c>
      <x:c r="B137" s="1" t="str">
        <x:v>LIMPIEZA</x:v>
      </x:c>
      <x:c r="C137" s="7" t="n">
        <x:v>23</x:v>
      </x:c>
      <x:c r="D137" s="7" t="n">
        <x:v>17.68382091830317</x:v>
      </x:c>
      <x:c r="E137" s="8" t="n">
        <x:f>IF(C137=0,"",ABS((D137-C137)/C137))</x:f>
        <x:v>0.23113822094334047</x:v>
      </x:c>
    </x:row>
    <x:row r="138" ht="23" customHeight="1">
      <x:c r="A138" s="6" t="n">
        <x:v>46234</x:v>
      </x:c>
      <x:c r="B138" s="1" t="str">
        <x:v>LIMPIEZA</x:v>
      </x:c>
      <x:c r="C138" s="7" t="n">
        <x:v>25</x:v>
      </x:c>
      <x:c r="D138" s="7" t="n">
        <x:v>17.727414084922824</x:v>
      </x:c>
      <x:c r="E138" s="8" t="n">
        <x:f>IF(C138=0,"",ABS((D138-C138)/C138))</x:f>
        <x:v>0.29090343660308704</x:v>
      </x:c>
    </x:row>
    <x:row r="139" ht="23" customHeight="1">
      <x:c r="A139" s="6" t="n">
        <x:v>46235</x:v>
      </x:c>
      <x:c r="B139" s="1" t="str">
        <x:v>LIMPIEZA</x:v>
      </x:c>
      <x:c r="C139" s="7" t="n">
        <x:v>29</x:v>
      </x:c>
      <x:c r="D139" s="7" t="n">
        <x:v>17.72869058652966</x:v>
      </x:c>
      <x:c r="E139" s="8" t="n">
        <x:f>IF(C139=0,"",ABS((D139-C139)/C139))</x:f>
        <x:v>0.38866584184380487</x:v>
      </x:c>
    </x:row>
    <x:row r="140" ht="23" customHeight="1">
      <x:c r="A140" s="6" t="n">
        <x:v>46236</x:v>
      </x:c>
      <x:c r="B140" s="1" t="str">
        <x:v>LIMPIEZA</x:v>
      </x:c>
      <x:c r="C140" s="7" t="n">
        <x:v>18</x:v>
      </x:c>
      <x:c r="D140" s="7" t="n">
        <x:v>17.71548661747472</x:v>
      </x:c>
      <x:c r="E140" s="8" t="n">
        <x:f>IF(C140=0,"",ABS((D140-C140)/C140))</x:f>
        <x:v>0.015806299029182194</x:v>
      </x:c>
    </x:row>
    <x:row r="141" ht="23" customHeight="1">
      <x:c r="A141" s="6" t="n">
        <x:v>46237</x:v>
      </x:c>
      <x:c r="B141" s="1" t="str">
        <x:v>LIMPIEZA</x:v>
      </x:c>
      <x:c r="C141" s="7" t="n">
        <x:v>17</x:v>
      </x:c>
      <x:c r="D141" s="7" t="n">
        <x:v>17.70987791642826</x:v>
      </x:c>
      <x:c r="E141" s="8" t="n">
        <x:f>IF(C141=0,"",ABS((D141-C141)/C141))</x:f>
        <x:v>0.0417575244957799</x:v>
      </x:c>
    </x:row>
    <x:row r="142" ht="23" customHeight="1">
      <x:c r="A142" s="6" t="n">
        <x:v>46238</x:v>
      </x:c>
      <x:c r="B142" s="1" t="str">
        <x:v>LIMPIEZA</x:v>
      </x:c>
      <x:c r="C142" s="7" t="n">
        <x:v>18</x:v>
      </x:c>
      <x:c r="D142" s="7" t="n">
        <x:v>17.709306111185988</x:v>
      </x:c>
      <x:c r="E142" s="8" t="n">
        <x:f>IF(C142=0,"",ABS((D142-C142)/C142))</x:f>
        <x:v>0.016149660489667324</x:v>
      </x:c>
    </x:row>
    <x:row r="143" ht="23" customHeight="1">
      <x:c r="A143" s="6" t="n">
        <x:v>46239</x:v>
      </x:c>
      <x:c r="B143" s="1" t="str">
        <x:v>LIMPIEZA</x:v>
      </x:c>
      <x:c r="C143" s="7" t="n">
        <x:v>24</x:v>
      </x:c>
      <x:c r="D143" s="7" t="n">
        <x:v>17.71544377615802</x:v>
      </x:c>
      <x:c r="E143" s="8" t="n">
        <x:f>IF(C143=0,"",ABS((D143-C143)/C143))</x:f>
        <x:v>0.26185650932674925</x:v>
      </x:c>
    </x:row>
    <x:row r="144" ht="23" customHeight="1">
      <x:c r="A144" s="6" t="n">
        <x:v>46240</x:v>
      </x:c>
      <x:c r="B144" s="1" t="str">
        <x:v>LIMPIEZA</x:v>
      </x:c>
      <x:c r="C144" s="7" t="n">
        <x:v>14</x:v>
      </x:c>
      <x:c r="D144" s="7" t="n">
        <x:v>17.71286285871466</x:v>
      </x:c>
      <x:c r="E144" s="8" t="n">
        <x:f>IF(C144=0,"",ABS((D144-C144)/C144))</x:f>
        <x:v>0.2652044899081901</x:v>
      </x:c>
    </x:row>
    <x:row r="145" ht="23" customHeight="1">
      <x:c r="A145" s="6" t="n">
        <x:v>46241</x:v>
      </x:c>
      <x:c r="B145" s="1" t="str">
        <x:v>LIMPIEZA</x:v>
      </x:c>
      <x:c r="C145" s="7" t="n">
        <x:v>19</x:v>
      </x:c>
      <x:c r="D145" s="7" t="n">
        <x:v>17.717011707344877</x:v>
      </x:c>
      <x:c r="E145" s="8" t="n">
        <x:f>IF(C145=0,"",ABS((D145-C145)/C145))</x:f>
        <x:v>0.06752569961342751</x:v>
      </x:c>
    </x:row>
    <x:row r="146" ht="23" customHeight="1">
      <x:c r="A146" s="6" t="n">
        <x:v>46242</x:v>
      </x:c>
      <x:c r="B146" s="1" t="str">
        <x:v>LIMPIEZA</x:v>
      </x:c>
      <x:c r="C146" s="7" t="n">
        <x:v>19</x:v>
      </x:c>
      <x:c r="D146" s="7" t="n">
        <x:v>17.71552565340517</x:v>
      </x:c>
      <x:c r="E146" s="8" t="n">
        <x:f>IF(C146=0,"",ABS((D146-C146)/C146))</x:f>
        <x:v>0.0676039129786753</x:v>
      </x:c>
    </x:row>
    <x:row r="147" ht="23" customHeight="1">
      <x:c r="A147" s="6" t="n">
        <x:v>46243</x:v>
      </x:c>
      <x:c r="B147" s="1" t="str">
        <x:v>LIMPIEZA</x:v>
      </x:c>
      <x:c r="C147" s="7" t="n">
        <x:v>18</x:v>
      </x:c>
      <x:c r="D147" s="7" t="n">
        <x:v>17.7136449486731</x:v>
      </x:c>
      <x:c r="E147" s="8" t="n">
        <x:f>IF(C147=0,"",ABS((D147-C147)/C147))</x:f>
        <x:v>0.01590861396260558</x:v>
      </x:c>
    </x:row>
    <x:row r="148" ht="23" customHeight="1">
      <x:c r="A148" s="6" t="n">
        <x:v>46244</x:v>
      </x:c>
      <x:c r="B148" s="1" t="str">
        <x:v>LIMPIEZA</x:v>
      </x:c>
      <x:c r="C148" s="7" t="n">
        <x:v>16</x:v>
      </x:c>
      <x:c r="D148" s="7" t="n">
        <x:v>17.71338185313001</x:v>
      </x:c>
      <x:c r="E148" s="8" t="n">
        <x:f>IF(C148=0,"",ABS((D148-C148)/C148))</x:f>
        <x:v>0.10708636582062558</x:v>
      </x:c>
    </x:row>
    <x:row r="149" ht="23" customHeight="1">
      <x:c r="A149" s="6" t="n">
        <x:v>46245</x:v>
      </x:c>
      <x:c r="B149" s="1" t="str">
        <x:v>LIMPIEZA</x:v>
      </x:c>
      <x:c r="C149" s="7" t="n">
        <x:v>18</x:v>
      </x:c>
      <x:c r="D149" s="7" t="n">
        <x:v>17.713882415515975</x:v>
      </x:c>
      <x:c r="E149" s="8" t="n">
        <x:f>IF(C149=0,"",ABS((D149-C149)/C149))</x:f>
        <x:v>0.015895421360223594</x:v>
      </x:c>
    </x:row>
    <x:row r="150" ht="23" customHeight="1">
      <x:c r="A150" s="6" t="n">
        <x:v>46246</x:v>
      </x:c>
      <x:c r="B150" s="1" t="str">
        <x:v>LIMPIEZA</x:v>
      </x:c>
      <x:c r="C150" s="7" t="n">
        <x:v>30</x:v>
      </x:c>
      <x:c r="D150" s="7" t="n">
        <x:v>17.714536173277402</x:v>
      </x:c>
      <x:c r="E150" s="8" t="n">
        <x:f>IF(C150=0,"",ABS((D150-C150)/C150))</x:f>
        <x:v>0.40951546089075325</x:v>
      </x:c>
    </x:row>
    <x:row r="151" ht="23" customHeight="1">
      <x:c r="A151" s="6" t="n">
        <x:v>46247</x:v>
      </x:c>
      <x:c r="B151" s="1" t="str">
        <x:v>LIMPIEZA</x:v>
      </x:c>
      <x:c r="C151" s="7" t="n">
        <x:v>12</x:v>
      </x:c>
      <x:c r="D151" s="7" t="n">
        <x:v>17.714406515723027</x:v>
      </x:c>
      <x:c r="E151" s="8" t="n">
        <x:f>IF(C151=0,"",ABS((D151-C151)/C151))</x:f>
        <x:v>0.47620054297691894</x:v>
      </x:c>
    </x:row>
    <x:row r="152" ht="23" customHeight="1">
      <x:c r="A152" s="6" t="n">
        <x:v>46248</x:v>
      </x:c>
      <x:c r="B152" s="1" t="str">
        <x:v>LIMPIEZA</x:v>
      </x:c>
      <x:c r="C152" s="7" t="n">
        <x:v>17</x:v>
      </x:c>
      <x:c r="D152" s="7" t="n">
        <x:v>17.714627038152795</x:v>
      </x:c>
      <x:c r="E152" s="8" t="n">
        <x:f>IF(C152=0,"",ABS((D152-C152)/C152))</x:f>
        <x:v>0.042036884597223226</x:v>
      </x:c>
    </x:row>
    <x:row r="153" ht="23" customHeight="1">
      <x:c r="A153" s="6" t="n">
        <x:v>46249</x:v>
      </x:c>
      <x:c r="B153" s="1" t="str">
        <x:v>LIMPIEZA</x:v>
      </x:c>
      <x:c r="C153" s="7" t="n">
        <x:v>26</x:v>
      </x:c>
      <x:c r="D153" s="7" t="n">
        <x:v>17.714286371125354</x:v>
      </x:c>
      <x:c r="E153" s="8" t="n">
        <x:f>IF(C153=0,"",ABS((D153-C153)/C153))</x:f>
        <x:v>0.31868129341825563</x:v>
      </x:c>
    </x:row>
    <x:row r="154" ht="23" customHeight="1">
      <x:c r="A154" s="6" t="n">
        <x:v>46250</x:v>
      </x:c>
      <x:c r="B154" s="1" t="str">
        <x:v>LIMPIEZA</x:v>
      </x:c>
      <x:c r="C154" s="7" t="n">
        <x:v>23</x:v>
      </x:c>
      <x:c r="D154" s="7" t="n">
        <x:v>17.714109330799666</x:v>
      </x:c>
      <x:c r="E154" s="8" t="n">
        <x:f>IF(C154=0,"",ABS((D154-C154)/C154))</x:f>
        <x:v>0.22982133344349281</x:v>
      </x:c>
    </x:row>
    <x:row r="155" ht="23" customHeight="1">
      <x:c r="A155" s="1"/>
      <x:c r="B155" s="1"/>
      <x:c r="C155" s="1"/>
      <x:c r="D155" s="1"/>
      <x:c r="E155" s="1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22" hidden="0" customWidth="1"/>
    <x:col min="5" max="5" width="25" hidden="0" customWidth="1"/>
  </x:cols>
  <x:sheetData>
    <x:row r="1" ht="23" customHeight="1">
      <x:c r="A1" s="1" t="str">
        <x:v>Diario postest — Modelo del programa</x:v>
      </x:c>
      <x:c r="B1" s="1"/>
      <x:c r="C1" s="1"/>
      <x:c r="D1" s="1"/>
      <x:c r="E1" s="1"/>
    </x:row>
    <x:row r="2" ht="23" customHeight="1">
      <x:c r="A2" s="1" t="str">
        <x:v>Fuente: detalle_30dias_verificado.csv conservado del proyecto.</x:v>
      </x:c>
      <x:c r="B2" s="1"/>
      <x:c r="C2" s="1"/>
      <x:c r="D2" s="1"/>
      <x:c r="E2" s="1"/>
    </x:row>
    <x:row r="3" ht="23" customHeight="1">
      <x:c r="A3" s="1"/>
      <x:c r="B3" s="1"/>
      <x:c r="C3" s="1"/>
      <x:c r="D3" s="1"/>
      <x:c r="E3" s="1"/>
    </x:row>
    <x:row r="4" ht="44" customHeight="1">
      <x:c r="A4" s="5" t="str">
        <x:v>Fecha</x:v>
      </x:c>
      <x:c r="B4" s="5" t="str">
        <x:v>Categoría</x:v>
      </x:c>
      <x:c r="C4" s="5" t="str">
        <x:v>Demanda real diaria</x:v>
      </x:c>
      <x:c r="D4" s="5" t="str">
        <x:v>Pronóstico diario</x:v>
      </x:c>
      <x:c r="E4" s="5" t="str">
        <x:v>Error absoluto porcentual</x:v>
      </x:c>
    </x:row>
    <x:row r="5" ht="23" customHeight="1">
      <x:c r="A5" s="6" t="n">
        <x:v>46251</x:v>
      </x:c>
      <x:c r="B5" s="1" t="str">
        <x:v>ABARROTES</x:v>
      </x:c>
      <x:c r="C5" s="7" t="n">
        <x:v>48</x:v>
      </x:c>
      <x:c r="D5" s="7" t="n">
        <x:v>45.79</x:v>
      </x:c>
      <x:c r="E5" s="8" t="n">
        <x:f>IF(C5=0,"",ABS((D5-C5)/C5))</x:f>
        <x:v>0.04604166666666668</x:v>
      </x:c>
    </x:row>
    <x:row r="6" ht="23" customHeight="1">
      <x:c r="A6" s="6" t="n">
        <x:v>46252</x:v>
      </x:c>
      <x:c r="B6" s="1" t="str">
        <x:v>ABARROTES</x:v>
      </x:c>
      <x:c r="C6" s="7" t="n">
        <x:v>47</x:v>
      </x:c>
      <x:c r="D6" s="7" t="n">
        <x:v>49.29</x:v>
      </x:c>
      <x:c r="E6" s="8" t="n">
        <x:f>IF(C6=0,"",ABS((D6-C6)/C6))</x:f>
        <x:v>0.04872340425531913</x:v>
      </x:c>
    </x:row>
    <x:row r="7" ht="23" customHeight="1">
      <x:c r="A7" s="6" t="n">
        <x:v>46253</x:v>
      </x:c>
      <x:c r="B7" s="1" t="str">
        <x:v>ABARROTES</x:v>
      </x:c>
      <x:c r="C7" s="7" t="n">
        <x:v>50</x:v>
      </x:c>
      <x:c r="D7" s="7" t="n">
        <x:v>52.12</x:v>
      </x:c>
      <x:c r="E7" s="8" t="n">
        <x:f>IF(C7=0,"",ABS((D7-C7)/C7))</x:f>
        <x:v>0.04239999999999995</x:v>
      </x:c>
    </x:row>
    <x:row r="8" ht="23" customHeight="1">
      <x:c r="A8" s="6" t="n">
        <x:v>46254</x:v>
      </x:c>
      <x:c r="B8" s="1" t="str">
        <x:v>ABARROTES</x:v>
      </x:c>
      <x:c r="C8" s="7" t="n">
        <x:v>73</x:v>
      </x:c>
      <x:c r="D8" s="7" t="n">
        <x:v>54.16</x:v>
      </x:c>
      <x:c r="E8" s="8" t="n">
        <x:f>IF(C8=0,"",ABS((D8-C8)/C8))</x:f>
        <x:v>0.258082191780822</x:v>
      </x:c>
    </x:row>
    <x:row r="9" ht="23" customHeight="1">
      <x:c r="A9" s="6" t="n">
        <x:v>46255</x:v>
      </x:c>
      <x:c r="B9" s="1" t="str">
        <x:v>ABARROTES</x:v>
      </x:c>
      <x:c r="C9" s="7" t="n">
        <x:v>78</x:v>
      </x:c>
      <x:c r="D9" s="7" t="n">
        <x:v>50.37</x:v>
      </x:c>
      <x:c r="E9" s="8" t="n">
        <x:f>IF(C9=0,"",ABS((D9-C9)/C9))</x:f>
        <x:v>0.35423076923076924</x:v>
      </x:c>
    </x:row>
    <x:row r="10" ht="23" customHeight="1">
      <x:c r="A10" s="6" t="n">
        <x:v>46256</x:v>
      </x:c>
      <x:c r="B10" s="1" t="str">
        <x:v>ABARROTES</x:v>
      </x:c>
      <x:c r="C10" s="7" t="n">
        <x:v>57</x:v>
      </x:c>
      <x:c r="D10" s="7" t="n">
        <x:v>58.28</x:v>
      </x:c>
      <x:c r="E10" s="8" t="n">
        <x:f>IF(C10=0,"",ABS((D10-C10)/C10))</x:f>
        <x:v>0.022456140350877212</x:v>
      </x:c>
    </x:row>
    <x:row r="11" ht="23" customHeight="1">
      <x:c r="A11" s="6" t="n">
        <x:v>46257</x:v>
      </x:c>
      <x:c r="B11" s="1" t="str">
        <x:v>ABARROTES</x:v>
      </x:c>
      <x:c r="C11" s="7" t="n">
        <x:v>49</x:v>
      </x:c>
      <x:c r="D11" s="7" t="n">
        <x:v>51.22</x:v>
      </x:c>
      <x:c r="E11" s="8" t="n">
        <x:f>IF(C11=0,"",ABS((D11-C11)/C11))</x:f>
        <x:v>0.045306122448979566</x:v>
      </x:c>
    </x:row>
    <x:row r="12" ht="23" customHeight="1">
      <x:c r="A12" s="6" t="n">
        <x:v>46258</x:v>
      </x:c>
      <x:c r="B12" s="1" t="str">
        <x:v>ABARROTES</x:v>
      </x:c>
      <x:c r="C12" s="7" t="n">
        <x:v>37</x:v>
      </x:c>
      <x:c r="D12" s="7" t="n">
        <x:v>48.4</x:v>
      </x:c>
      <x:c r="E12" s="8" t="n">
        <x:f>IF(C12=0,"",ABS((D12-C12)/C12))</x:f>
        <x:v>0.30810810810810807</x:v>
      </x:c>
    </x:row>
    <x:row r="13" ht="23" customHeight="1">
      <x:c r="A13" s="6" t="n">
        <x:v>46259</x:v>
      </x:c>
      <x:c r="B13" s="1" t="str">
        <x:v>ABARROTES</x:v>
      </x:c>
      <x:c r="C13" s="7" t="n">
        <x:v>62</x:v>
      </x:c>
      <x:c r="D13" s="7" t="n">
        <x:v>55.37</x:v>
      </x:c>
      <x:c r="E13" s="8" t="n">
        <x:f>IF(C13=0,"",ABS((D13-C13)/C13))</x:f>
        <x:v>0.10693548387096778</x:v>
      </x:c>
    </x:row>
    <x:row r="14" ht="23" customHeight="1">
      <x:c r="A14" s="6" t="n">
        <x:v>46260</x:v>
      </x:c>
      <x:c r="B14" s="1" t="str">
        <x:v>ABARROTES</x:v>
      </x:c>
      <x:c r="C14" s="7" t="n">
        <x:v>51</x:v>
      </x:c>
      <x:c r="D14" s="7" t="n">
        <x:v>55.42</x:v>
      </x:c>
      <x:c r="E14" s="8" t="n">
        <x:f>IF(C14=0,"",ABS((D14-C14)/C14))</x:f>
        <x:v>0.0866666666666667</x:v>
      </x:c>
    </x:row>
    <x:row r="15" ht="23" customHeight="1">
      <x:c r="A15" s="6" t="n">
        <x:v>46261</x:v>
      </x:c>
      <x:c r="B15" s="1" t="str">
        <x:v>ABARROTES</x:v>
      </x:c>
      <x:c r="C15" s="7" t="n">
        <x:v>56</x:v>
      </x:c>
      <x:c r="D15" s="7" t="n">
        <x:v>45.37</x:v>
      </x:c>
      <x:c r="E15" s="8" t="n">
        <x:f>IF(C15=0,"",ABS((D15-C15)/C15))</x:f>
        <x:v>0.1898214285714286</x:v>
      </x:c>
    </x:row>
    <x:row r="16" ht="23" customHeight="1">
      <x:c r="A16" s="6" t="n">
        <x:v>46262</x:v>
      </x:c>
      <x:c r="B16" s="1" t="str">
        <x:v>ABARROTES</x:v>
      </x:c>
      <x:c r="C16" s="7" t="n">
        <x:v>71</x:v>
      </x:c>
      <x:c r="D16" s="7" t="n">
        <x:v>50.49</x:v>
      </x:c>
      <x:c r="E16" s="8" t="n">
        <x:f>IF(C16=0,"",ABS((D16-C16)/C16))</x:f>
        <x:v>0.2888732394366197</x:v>
      </x:c>
    </x:row>
    <x:row r="17" ht="23" customHeight="1">
      <x:c r="A17" s="6" t="n">
        <x:v>46263</x:v>
      </x:c>
      <x:c r="B17" s="1" t="str">
        <x:v>ABARROTES</x:v>
      </x:c>
      <x:c r="C17" s="7" t="n">
        <x:v>71</x:v>
      </x:c>
      <x:c r="D17" s="7" t="n">
        <x:v>52.77</x:v>
      </x:c>
      <x:c r="E17" s="8" t="n">
        <x:f>IF(C17=0,"",ABS((D17-C17)/C17))</x:f>
        <x:v>0.25676056338028164</x:v>
      </x:c>
    </x:row>
    <x:row r="18" ht="23" customHeight="1">
      <x:c r="A18" s="6" t="n">
        <x:v>46264</x:v>
      </x:c>
      <x:c r="B18" s="1" t="str">
        <x:v>ABARROTES</x:v>
      </x:c>
      <x:c r="C18" s="7" t="n">
        <x:v>76</x:v>
      </x:c>
      <x:c r="D18" s="7" t="n">
        <x:v>50.29</x:v>
      </x:c>
      <x:c r="E18" s="8" t="n">
        <x:f>IF(C18=0,"",ABS((D18-C18)/C18))</x:f>
        <x:v>0.33828947368421053</x:v>
      </x:c>
    </x:row>
    <x:row r="19" ht="23" customHeight="1">
      <x:c r="A19" s="6" t="n">
        <x:v>46265</x:v>
      </x:c>
      <x:c r="B19" s="1" t="str">
        <x:v>ABARROTES</x:v>
      </x:c>
      <x:c r="C19" s="7" t="n">
        <x:v>62</x:v>
      </x:c>
      <x:c r="D19" s="7" t="n">
        <x:v>46.32</x:v>
      </x:c>
      <x:c r="E19" s="8" t="n">
        <x:f>IF(C19=0,"",ABS((D19-C19)/C19))</x:f>
        <x:v>0.2529032258064516</x:v>
      </x:c>
    </x:row>
    <x:row r="20" ht="23" customHeight="1">
      <x:c r="A20" s="6" t="n">
        <x:v>46266</x:v>
      </x:c>
      <x:c r="B20" s="1" t="str">
        <x:v>ABARROTES</x:v>
      </x:c>
      <x:c r="C20" s="7" t="n">
        <x:v>56</x:v>
      </x:c>
      <x:c r="D20" s="7" t="n">
        <x:v>51.48</x:v>
      </x:c>
      <x:c r="E20" s="8" t="n">
        <x:f>IF(C20=0,"",ABS((D20-C20)/C20))</x:f>
        <x:v>0.08071428571428577</x:v>
      </x:c>
    </x:row>
    <x:row r="21" ht="23" customHeight="1">
      <x:c r="A21" s="6" t="n">
        <x:v>46267</x:v>
      </x:c>
      <x:c r="B21" s="1" t="str">
        <x:v>ABARROTES</x:v>
      </x:c>
      <x:c r="C21" s="7" t="n">
        <x:v>38</x:v>
      </x:c>
      <x:c r="D21" s="7" t="n">
        <x:v>49.73</x:v>
      </x:c>
      <x:c r="E21" s="8" t="n">
        <x:f>IF(C21=0,"",ABS((D21-C21)/C21))</x:f>
        <x:v>0.3086842105263157</x:v>
      </x:c>
    </x:row>
    <x:row r="22" ht="23" customHeight="1">
      <x:c r="A22" s="6" t="n">
        <x:v>46268</x:v>
      </x:c>
      <x:c r="B22" s="1" t="str">
        <x:v>ABARROTES</x:v>
      </x:c>
      <x:c r="C22" s="7" t="n">
        <x:v>73</x:v>
      </x:c>
      <x:c r="D22" s="7" t="n">
        <x:v>47.48</x:v>
      </x:c>
      <x:c r="E22" s="8" t="n">
        <x:f>IF(C22=0,"",ABS((D22-C22)/C22))</x:f>
        <x:v>0.34958904109589045</x:v>
      </x:c>
    </x:row>
    <x:row r="23" ht="23" customHeight="1">
      <x:c r="A23" s="6" t="n">
        <x:v>46269</x:v>
      </x:c>
      <x:c r="B23" s="1" t="str">
        <x:v>ABARROTES</x:v>
      </x:c>
      <x:c r="C23" s="7" t="n">
        <x:v>62</x:v>
      </x:c>
      <x:c r="D23" s="7" t="n">
        <x:v>48.29</x:v>
      </x:c>
      <x:c r="E23" s="8" t="n">
        <x:f>IF(C23=0,"",ABS((D23-C23)/C23))</x:f>
        <x:v>0.22112903225806452</x:v>
      </x:c>
    </x:row>
    <x:row r="24" ht="23" customHeight="1">
      <x:c r="A24" s="6" t="n">
        <x:v>46270</x:v>
      </x:c>
      <x:c r="B24" s="1" t="str">
        <x:v>ABARROTES</x:v>
      </x:c>
      <x:c r="C24" s="7" t="n">
        <x:v>62</x:v>
      </x:c>
      <x:c r="D24" s="7" t="n">
        <x:v>51.48</x:v>
      </x:c>
      <x:c r="E24" s="8" t="n">
        <x:f>IF(C24=0,"",ABS((D24-C24)/C24))</x:f>
        <x:v>0.16967741935483877</x:v>
      </x:c>
    </x:row>
    <x:row r="25" ht="23" customHeight="1">
      <x:c r="A25" s="6" t="n">
        <x:v>46271</x:v>
      </x:c>
      <x:c r="B25" s="1" t="str">
        <x:v>ABARROTES</x:v>
      </x:c>
      <x:c r="C25" s="7" t="n">
        <x:v>53</x:v>
      </x:c>
      <x:c r="D25" s="7" t="n">
        <x:v>48.03</x:v>
      </x:c>
      <x:c r="E25" s="8" t="n">
        <x:f>IF(C25=0,"",ABS((D25-C25)/C25))</x:f>
        <x:v>0.09377358490566036</x:v>
      </x:c>
    </x:row>
    <x:row r="26" ht="23" customHeight="1">
      <x:c r="A26" s="6" t="n">
        <x:v>46272</x:v>
      </x:c>
      <x:c r="B26" s="1" t="str">
        <x:v>ABARROTES</x:v>
      </x:c>
      <x:c r="C26" s="7" t="n">
        <x:v>34</x:v>
      </x:c>
      <x:c r="D26" s="7" t="n">
        <x:v>51.67</x:v>
      </x:c>
      <x:c r="E26" s="8" t="n">
        <x:f>IF(C26=0,"",ABS((D26-C26)/C26))</x:f>
        <x:v>0.5197058823529412</x:v>
      </x:c>
    </x:row>
    <x:row r="27" ht="23" customHeight="1">
      <x:c r="A27" s="6" t="n">
        <x:v>46273</x:v>
      </x:c>
      <x:c r="B27" s="1" t="str">
        <x:v>ABARROTES</x:v>
      </x:c>
      <x:c r="C27" s="7" t="n">
        <x:v>57</x:v>
      </x:c>
      <x:c r="D27" s="7" t="n">
        <x:v>46.23</x:v>
      </x:c>
      <x:c r="E27" s="8" t="n">
        <x:f>IF(C27=0,"",ABS((D27-C27)/C27))</x:f>
        <x:v>0.1889473684210527</x:v>
      </x:c>
    </x:row>
    <x:row r="28" ht="23" customHeight="1">
      <x:c r="A28" s="6" t="n">
        <x:v>46274</x:v>
      </x:c>
      <x:c r="B28" s="1" t="str">
        <x:v>ABARROTES</x:v>
      </x:c>
      <x:c r="C28" s="7" t="n">
        <x:v>31</x:v>
      </x:c>
      <x:c r="D28" s="7" t="n">
        <x:v>46.26</x:v>
      </x:c>
      <x:c r="E28" s="8" t="n">
        <x:f>IF(C28=0,"",ABS((D28-C28)/C28))</x:f>
        <x:v>0.49225806451612897</x:v>
      </x:c>
    </x:row>
    <x:row r="29" ht="23" customHeight="1">
      <x:c r="A29" s="6" t="n">
        <x:v>46275</x:v>
      </x:c>
      <x:c r="B29" s="1" t="str">
        <x:v>ABARROTES</x:v>
      </x:c>
      <x:c r="C29" s="7" t="n">
        <x:v>61</x:v>
      </x:c>
      <x:c r="D29" s="7" t="n">
        <x:v>56.44</x:v>
      </x:c>
      <x:c r="E29" s="8" t="n">
        <x:f>IF(C29=0,"",ABS((D29-C29)/C29))</x:f>
        <x:v>0.07475409836065577</x:v>
      </x:c>
    </x:row>
    <x:row r="30" ht="23" customHeight="1">
      <x:c r="A30" s="6" t="n">
        <x:v>46276</x:v>
      </x:c>
      <x:c r="B30" s="1" t="str">
        <x:v>ABARROTES</x:v>
      </x:c>
      <x:c r="C30" s="7" t="n">
        <x:v>43</x:v>
      </x:c>
      <x:c r="D30" s="7" t="n">
        <x:v>47.67</x:v>
      </x:c>
      <x:c r="E30" s="8" t="n">
        <x:f>IF(C30=0,"",ABS((D30-C30)/C30))</x:f>
        <x:v>0.10860465116279074</x:v>
      </x:c>
    </x:row>
    <x:row r="31" ht="23" customHeight="1">
      <x:c r="A31" s="6" t="n">
        <x:v>46277</x:v>
      </x:c>
      <x:c r="B31" s="1" t="str">
        <x:v>ABARROTES</x:v>
      </x:c>
      <x:c r="C31" s="7" t="n">
        <x:v>55</x:v>
      </x:c>
      <x:c r="D31" s="7" t="n">
        <x:v>51.6</x:v>
      </x:c>
      <x:c r="E31" s="8" t="n">
        <x:f>IF(C31=0,"",ABS((D31-C31)/C31))</x:f>
        <x:v>0.06181818181818179</x:v>
      </x:c>
    </x:row>
    <x:row r="32" ht="23" customHeight="1">
      <x:c r="A32" s="6" t="n">
        <x:v>46278</x:v>
      </x:c>
      <x:c r="B32" s="1" t="str">
        <x:v>ABARROTES</x:v>
      </x:c>
      <x:c r="C32" s="7" t="n">
        <x:v>27</x:v>
      </x:c>
      <x:c r="D32" s="7" t="n">
        <x:v>47.58</x:v>
      </x:c>
      <x:c r="E32" s="8" t="n">
        <x:f>IF(C32=0,"",ABS((D32-C32)/C32))</x:f>
        <x:v>0.7622222222222221</x:v>
      </x:c>
    </x:row>
    <x:row r="33" ht="23" customHeight="1">
      <x:c r="A33" s="6" t="n">
        <x:v>46279</x:v>
      </x:c>
      <x:c r="B33" s="1" t="str">
        <x:v>ABARROTES</x:v>
      </x:c>
      <x:c r="C33" s="7" t="n">
        <x:v>60</x:v>
      </x:c>
      <x:c r="D33" s="7" t="n">
        <x:v>51.25</x:v>
      </x:c>
      <x:c r="E33" s="8" t="n">
        <x:f>IF(C33=0,"",ABS((D33-C33)/C33))</x:f>
        <x:v>0.14583333333333334</x:v>
      </x:c>
    </x:row>
    <x:row r="34" ht="23" customHeight="1">
      <x:c r="A34" s="6" t="n">
        <x:v>46280</x:v>
      </x:c>
      <x:c r="B34" s="1" t="str">
        <x:v>ABARROTES</x:v>
      </x:c>
      <x:c r="C34" s="7" t="n">
        <x:v>53</x:v>
      </x:c>
      <x:c r="D34" s="7" t="n">
        <x:v>45.85</x:v>
      </x:c>
      <x:c r="E34" s="8" t="n">
        <x:f>IF(C34=0,"",ABS((D34-C34)/C34))</x:f>
        <x:v>0.13490566037735846</x:v>
      </x:c>
    </x:row>
    <x:row r="35" ht="23" customHeight="1">
      <x:c r="A35" s="6" t="n">
        <x:v>46251</x:v>
      </x:c>
      <x:c r="B35" s="1" t="str">
        <x:v>BEBIDAS</x:v>
      </x:c>
      <x:c r="C35" s="7" t="n">
        <x:v>79</x:v>
      </x:c>
      <x:c r="D35" s="7" t="n">
        <x:v>81.5</x:v>
      </x:c>
      <x:c r="E35" s="8" t="n">
        <x:f>IF(C35=0,"",ABS((D35-C35)/C35))</x:f>
        <x:v>0.03164556962025317</x:v>
      </x:c>
    </x:row>
    <x:row r="36" ht="23" customHeight="1">
      <x:c r="A36" s="6" t="n">
        <x:v>46252</x:v>
      </x:c>
      <x:c r="B36" s="1" t="str">
        <x:v>BEBIDAS</x:v>
      </x:c>
      <x:c r="C36" s="7" t="n">
        <x:v>93</x:v>
      </x:c>
      <x:c r="D36" s="7" t="n">
        <x:v>83.36</x:v>
      </x:c>
      <x:c r="E36" s="8" t="n">
        <x:f>IF(C36=0,"",ABS((D36-C36)/C36))</x:f>
        <x:v>0.10365591397849463</x:v>
      </x:c>
    </x:row>
    <x:row r="37" ht="23" customHeight="1">
      <x:c r="A37" s="6" t="n">
        <x:v>46253</x:v>
      </x:c>
      <x:c r="B37" s="1" t="str">
        <x:v>BEBIDAS</x:v>
      </x:c>
      <x:c r="C37" s="7" t="n">
        <x:v>49</x:v>
      </x:c>
      <x:c r="D37" s="7" t="n">
        <x:v>81.74</x:v>
      </x:c>
      <x:c r="E37" s="8" t="n">
        <x:f>IF(C37=0,"",ABS((D37-C37)/C37))</x:f>
        <x:v>0.6681632653061224</x:v>
      </x:c>
    </x:row>
    <x:row r="38" ht="23" customHeight="1">
      <x:c r="A38" s="6" t="n">
        <x:v>46254</x:v>
      </x:c>
      <x:c r="B38" s="1" t="str">
        <x:v>BEBIDAS</x:v>
      </x:c>
      <x:c r="C38" s="7" t="n">
        <x:v>92</x:v>
      </x:c>
      <x:c r="D38" s="7" t="n">
        <x:v>85.29</x:v>
      </x:c>
      <x:c r="E38" s="8" t="n">
        <x:f>IF(C38=0,"",ABS((D38-C38)/C38))</x:f>
        <x:v>0.07293478260869558</x:v>
      </x:c>
    </x:row>
    <x:row r="39" ht="23" customHeight="1">
      <x:c r="A39" s="6" t="n">
        <x:v>46255</x:v>
      </x:c>
      <x:c r="B39" s="1" t="str">
        <x:v>BEBIDAS</x:v>
      </x:c>
      <x:c r="C39" s="7" t="n">
        <x:v>122</x:v>
      </x:c>
      <x:c r="D39" s="7" t="n">
        <x:v>91.74</x:v>
      </x:c>
      <x:c r="E39" s="8" t="n">
        <x:f>IF(C39=0,"",ABS((D39-C39)/C39))</x:f>
        <x:v>0.24803278688524594</x:v>
      </x:c>
    </x:row>
    <x:row r="40" ht="23" customHeight="1">
      <x:c r="A40" s="6" t="n">
        <x:v>46256</x:v>
      </x:c>
      <x:c r="B40" s="1" t="str">
        <x:v>BEBIDAS</x:v>
      </x:c>
      <x:c r="C40" s="7" t="n">
        <x:v>91</x:v>
      </x:c>
      <x:c r="D40" s="7" t="n">
        <x:v>108.56</x:v>
      </x:c>
      <x:c r="E40" s="8" t="n">
        <x:f>IF(C40=0,"",ABS((D40-C40)/C40))</x:f>
        <x:v>0.192967032967033</x:v>
      </x:c>
    </x:row>
    <x:row r="41" ht="23" customHeight="1">
      <x:c r="A41" s="6" t="n">
        <x:v>46257</x:v>
      </x:c>
      <x:c r="B41" s="1" t="str">
        <x:v>BEBIDAS</x:v>
      </x:c>
      <x:c r="C41" s="7" t="n">
        <x:v>112</x:v>
      </x:c>
      <x:c r="D41" s="7" t="n">
        <x:v>101.41</x:v>
      </x:c>
      <x:c r="E41" s="8" t="n">
        <x:f>IF(C41=0,"",ABS((D41-C41)/C41))</x:f>
        <x:v>0.09455357142857146</x:v>
      </x:c>
    </x:row>
    <x:row r="42" ht="23" customHeight="1">
      <x:c r="A42" s="6" t="n">
        <x:v>46258</x:v>
      </x:c>
      <x:c r="B42" s="1" t="str">
        <x:v>BEBIDAS</x:v>
      </x:c>
      <x:c r="C42" s="7" t="n">
        <x:v>93</x:v>
      </x:c>
      <x:c r="D42" s="7" t="n">
        <x:v>81.71</x:v>
      </x:c>
      <x:c r="E42" s="8" t="n">
        <x:f>IF(C42=0,"",ABS((D42-C42)/C42))</x:f>
        <x:v>0.12139784946236566</x:v>
      </x:c>
    </x:row>
    <x:row r="43" ht="23" customHeight="1">
      <x:c r="A43" s="6" t="n">
        <x:v>46259</x:v>
      </x:c>
      <x:c r="B43" s="1" t="str">
        <x:v>BEBIDAS</x:v>
      </x:c>
      <x:c r="C43" s="7" t="n">
        <x:v>93</x:v>
      </x:c>
      <x:c r="D43" s="7" t="n">
        <x:v>81.72</x:v>
      </x:c>
      <x:c r="E43" s="8" t="n">
        <x:f>IF(C43=0,"",ABS((D43-C43)/C43))</x:f>
        <x:v>0.12129032258064518</x:v>
      </x:c>
    </x:row>
    <x:row r="44" ht="23" customHeight="1">
      <x:c r="A44" s="6" t="n">
        <x:v>46260</x:v>
      </x:c>
      <x:c r="B44" s="1" t="str">
        <x:v>BEBIDAS</x:v>
      </x:c>
      <x:c r="C44" s="7" t="n">
        <x:v>123</x:v>
      </x:c>
      <x:c r="D44" s="7" t="n">
        <x:v>82.69</x:v>
      </x:c>
      <x:c r="E44" s="8" t="n">
        <x:f>IF(C44=0,"",ABS((D44-C44)/C44))</x:f>
        <x:v>0.3277235772357724</x:v>
      </x:c>
    </x:row>
    <x:row r="45" ht="23" customHeight="1">
      <x:c r="A45" s="6" t="n">
        <x:v>46261</x:v>
      </x:c>
      <x:c r="B45" s="1" t="str">
        <x:v>BEBIDAS</x:v>
      </x:c>
      <x:c r="C45" s="7" t="n">
        <x:v>112</x:v>
      </x:c>
      <x:c r="D45" s="7" t="n">
        <x:v>91.14</x:v>
      </x:c>
      <x:c r="E45" s="8" t="n">
        <x:f>IF(C45=0,"",ABS((D45-C45)/C45))</x:f>
        <x:v>0.18625</x:v>
      </x:c>
    </x:row>
    <x:row r="46" ht="23" customHeight="1">
      <x:c r="A46" s="6" t="n">
        <x:v>46262</x:v>
      </x:c>
      <x:c r="B46" s="1" t="str">
        <x:v>BEBIDAS</x:v>
      </x:c>
      <x:c r="C46" s="7" t="n">
        <x:v>105</x:v>
      </x:c>
      <x:c r="D46" s="7" t="n">
        <x:v>89.56</x:v>
      </x:c>
      <x:c r="E46" s="8" t="n">
        <x:f>IF(C46=0,"",ABS((D46-C46)/C46))</x:f>
        <x:v>0.14704761904761904</x:v>
      </x:c>
    </x:row>
    <x:row r="47" ht="23" customHeight="1">
      <x:c r="A47" s="6" t="n">
        <x:v>46263</x:v>
      </x:c>
      <x:c r="B47" s="1" t="str">
        <x:v>BEBIDAS</x:v>
      </x:c>
      <x:c r="C47" s="7" t="n">
        <x:v>106</x:v>
      </x:c>
      <x:c r="D47" s="7" t="n">
        <x:v>104.58</x:v>
      </x:c>
      <x:c r="E47" s="8" t="n">
        <x:f>IF(C47=0,"",ABS((D47-C47)/C47))</x:f>
        <x:v>0.013396226415094355</x:v>
      </x:c>
    </x:row>
    <x:row r="48" ht="23" customHeight="1">
      <x:c r="A48" s="6" t="n">
        <x:v>46264</x:v>
      </x:c>
      <x:c r="B48" s="1" t="str">
        <x:v>BEBIDAS</x:v>
      </x:c>
      <x:c r="C48" s="7" t="n">
        <x:v>112</x:v>
      </x:c>
      <x:c r="D48" s="7" t="n">
        <x:v>100.03</x:v>
      </x:c>
      <x:c r="E48" s="8" t="n">
        <x:f>IF(C48=0,"",ABS((D48-C48)/C48))</x:f>
        <x:v>0.10687499999999998</x:v>
      </x:c>
    </x:row>
    <x:row r="49" ht="23" customHeight="1">
      <x:c r="A49" s="6" t="n">
        <x:v>46265</x:v>
      </x:c>
      <x:c r="B49" s="1" t="str">
        <x:v>BEBIDAS</x:v>
      </x:c>
      <x:c r="C49" s="7" t="n">
        <x:v>95</x:v>
      </x:c>
      <x:c r="D49" s="7" t="n">
        <x:v>81.81</x:v>
      </x:c>
      <x:c r="E49" s="8" t="n">
        <x:f>IF(C49=0,"",ABS((D49-C49)/C49))</x:f>
        <x:v>0.13884210526315788</x:v>
      </x:c>
    </x:row>
    <x:row r="50" ht="23" customHeight="1">
      <x:c r="A50" s="6" t="n">
        <x:v>46266</x:v>
      </x:c>
      <x:c r="B50" s="1" t="str">
        <x:v>BEBIDAS</x:v>
      </x:c>
      <x:c r="C50" s="7" t="n">
        <x:v>81</x:v>
      </x:c>
      <x:c r="D50" s="7" t="n">
        <x:v>83.07</x:v>
      </x:c>
      <x:c r="E50" s="8" t="n">
        <x:f>IF(C50=0,"",ABS((D50-C50)/C50))</x:f>
        <x:v>0.02555555555555547</x:v>
      </x:c>
    </x:row>
    <x:row r="51" ht="23" customHeight="1">
      <x:c r="A51" s="6" t="n">
        <x:v>46267</x:v>
      </x:c>
      <x:c r="B51" s="1" t="str">
        <x:v>BEBIDAS</x:v>
      </x:c>
      <x:c r="C51" s="7" t="n">
        <x:v>80</x:v>
      </x:c>
      <x:c r="D51" s="7" t="n">
        <x:v>83.61</x:v>
      </x:c>
      <x:c r="E51" s="8" t="n">
        <x:f>IF(C51=0,"",ABS((D51-C51)/C51))</x:f>
        <x:v>0.04512499999999999</x:v>
      </x:c>
    </x:row>
    <x:row r="52" ht="23" customHeight="1">
      <x:c r="A52" s="6" t="n">
        <x:v>46268</x:v>
      </x:c>
      <x:c r="B52" s="1" t="str">
        <x:v>BEBIDAS</x:v>
      </x:c>
      <x:c r="C52" s="7" t="n">
        <x:v>83</x:v>
      </x:c>
      <x:c r="D52" s="7" t="n">
        <x:v>91.72</x:v>
      </x:c>
      <x:c r="E52" s="8" t="n">
        <x:f>IF(C52=0,"",ABS((D52-C52)/C52))</x:f>
        <x:v>0.10506024096385541</x:v>
      </x:c>
    </x:row>
    <x:row r="53" ht="23" customHeight="1">
      <x:c r="A53" s="6" t="n">
        <x:v>46269</x:v>
      </x:c>
      <x:c r="B53" s="1" t="str">
        <x:v>BEBIDAS</x:v>
      </x:c>
      <x:c r="C53" s="7" t="n">
        <x:v>117</x:v>
      </x:c>
      <x:c r="D53" s="7" t="n">
        <x:v>89.14</x:v>
      </x:c>
      <x:c r="E53" s="8" t="n">
        <x:f>IF(C53=0,"",ABS((D53-C53)/C53))</x:f>
        <x:v>0.23811965811965813</x:v>
      </x:c>
    </x:row>
    <x:row r="54" ht="23" customHeight="1">
      <x:c r="A54" s="6" t="n">
        <x:v>46270</x:v>
      </x:c>
      <x:c r="B54" s="1" t="str">
        <x:v>BEBIDAS</x:v>
      </x:c>
      <x:c r="C54" s="7" t="n">
        <x:v>97</x:v>
      </x:c>
      <x:c r="D54" s="7" t="n">
        <x:v>96.96</x:v>
      </x:c>
      <x:c r="E54" s="8" t="n">
        <x:f>IF(C54=0,"",ABS((D54-C54)/C54))</x:f>
        <x:v>0.00041237113402068303</x:v>
      </x:c>
    </x:row>
    <x:row r="55" ht="23" customHeight="1">
      <x:c r="A55" s="6" t="n">
        <x:v>46271</x:v>
      </x:c>
      <x:c r="B55" s="1" t="str">
        <x:v>BEBIDAS</x:v>
      </x:c>
      <x:c r="C55" s="7" t="n">
        <x:v>89</x:v>
      </x:c>
      <x:c r="D55" s="7" t="n">
        <x:v>101.31</x:v>
      </x:c>
      <x:c r="E55" s="8" t="n">
        <x:f>IF(C55=0,"",ABS((D55-C55)/C55))</x:f>
        <x:v>0.13831460674157306</x:v>
      </x:c>
    </x:row>
    <x:row r="56" ht="23" customHeight="1">
      <x:c r="A56" s="6" t="n">
        <x:v>46272</x:v>
      </x:c>
      <x:c r="B56" s="1" t="str">
        <x:v>BEBIDAS</x:v>
      </x:c>
      <x:c r="C56" s="7" t="n">
        <x:v>72</x:v>
      </x:c>
      <x:c r="D56" s="7" t="n">
        <x:v>81.12</x:v>
      </x:c>
      <x:c r="E56" s="8" t="n">
        <x:f>IF(C56=0,"",ABS((D56-C56)/C56))</x:f>
        <x:v>0.12666666666666673</x:v>
      </x:c>
    </x:row>
    <x:row r="57" ht="23" customHeight="1">
      <x:c r="A57" s="6" t="n">
        <x:v>46273</x:v>
      </x:c>
      <x:c r="B57" s="1" t="str">
        <x:v>BEBIDAS</x:v>
      </x:c>
      <x:c r="C57" s="7" t="n">
        <x:v>103</x:v>
      </x:c>
      <x:c r="D57" s="7" t="n">
        <x:v>80.51</x:v>
      </x:c>
      <x:c r="E57" s="8" t="n">
        <x:f>IF(C57=0,"",ABS((D57-C57)/C57))</x:f>
        <x:v>0.21834951456310675</x:v>
      </x:c>
    </x:row>
    <x:row r="58" ht="23" customHeight="1">
      <x:c r="A58" s="6" t="n">
        <x:v>46274</x:v>
      </x:c>
      <x:c r="B58" s="1" t="str">
        <x:v>BEBIDAS</x:v>
      </x:c>
      <x:c r="C58" s="7" t="n">
        <x:v>75</x:v>
      </x:c>
      <x:c r="D58" s="7" t="n">
        <x:v>80.38</x:v>
      </x:c>
      <x:c r="E58" s="8" t="n">
        <x:f>IF(C58=0,"",ABS((D58-C58)/C58))</x:f>
        <x:v>0.07173333333333327</x:v>
      </x:c>
    </x:row>
    <x:row r="59" ht="23" customHeight="1">
      <x:c r="A59" s="6" t="n">
        <x:v>46275</x:v>
      </x:c>
      <x:c r="B59" s="1" t="str">
        <x:v>BEBIDAS</x:v>
      </x:c>
      <x:c r="C59" s="7" t="n">
        <x:v>64</x:v>
      </x:c>
      <x:c r="D59" s="7" t="n">
        <x:v>86.15</x:v>
      </x:c>
      <x:c r="E59" s="8" t="n">
        <x:f>IF(C59=0,"",ABS((D59-C59)/C59))</x:f>
        <x:v>0.3460937500000001</x:v>
      </x:c>
    </x:row>
    <x:row r="60" ht="23" customHeight="1">
      <x:c r="A60" s="6" t="n">
        <x:v>46276</x:v>
      </x:c>
      <x:c r="B60" s="1" t="str">
        <x:v>BEBIDAS</x:v>
      </x:c>
      <x:c r="C60" s="7" t="n">
        <x:v>108</x:v>
      </x:c>
      <x:c r="D60" s="7" t="n">
        <x:v>91.58</x:v>
      </x:c>
      <x:c r="E60" s="8" t="n">
        <x:f>IF(C60=0,"",ABS((D60-C60)/C60))</x:f>
        <x:v>0.15203703703703705</x:v>
      </x:c>
    </x:row>
    <x:row r="61" ht="23" customHeight="1">
      <x:c r="A61" s="6" t="n">
        <x:v>46277</x:v>
      </x:c>
      <x:c r="B61" s="1" t="str">
        <x:v>BEBIDAS</x:v>
      </x:c>
      <x:c r="C61" s="7" t="n">
        <x:v>103</x:v>
      </x:c>
      <x:c r="D61" s="7" t="n">
        <x:v>97.96</x:v>
      </x:c>
      <x:c r="E61" s="8" t="n">
        <x:f>IF(C61=0,"",ABS((D61-C61)/C61))</x:f>
        <x:v>0.048932038834951515</x:v>
      </x:c>
    </x:row>
    <x:row r="62" ht="23" customHeight="1">
      <x:c r="A62" s="6" t="n">
        <x:v>46278</x:v>
      </x:c>
      <x:c r="B62" s="1" t="str">
        <x:v>BEBIDAS</x:v>
      </x:c>
      <x:c r="C62" s="7" t="n">
        <x:v>100</x:v>
      </x:c>
      <x:c r="D62" s="7" t="n">
        <x:v>91.78</x:v>
      </x:c>
      <x:c r="E62" s="8" t="n">
        <x:f>IF(C62=0,"",ABS((D62-C62)/C62))</x:f>
        <x:v>0.0822</x:v>
      </x:c>
    </x:row>
    <x:row r="63" ht="23" customHeight="1">
      <x:c r="A63" s="6" t="n">
        <x:v>46279</x:v>
      </x:c>
      <x:c r="B63" s="1" t="str">
        <x:v>BEBIDAS</x:v>
      </x:c>
      <x:c r="C63" s="7" t="n">
        <x:v>67</x:v>
      </x:c>
      <x:c r="D63" s="7" t="n">
        <x:v>82.05</x:v>
      </x:c>
      <x:c r="E63" s="8" t="n">
        <x:f>IF(C63=0,"",ABS((D63-C63)/C63))</x:f>
        <x:v>0.22462686567164175</x:v>
      </x:c>
    </x:row>
    <x:row r="64" ht="23" customHeight="1">
      <x:c r="A64" s="6" t="n">
        <x:v>46280</x:v>
      </x:c>
      <x:c r="B64" s="1" t="str">
        <x:v>BEBIDAS</x:v>
      </x:c>
      <x:c r="C64" s="7" t="n">
        <x:v>94</x:v>
      </x:c>
      <x:c r="D64" s="7" t="n">
        <x:v>82.21</x:v>
      </x:c>
      <x:c r="E64" s="8" t="n">
        <x:f>IF(C64=0,"",ABS((D64-C64)/C64))</x:f>
        <x:v>0.1254255319148937</x:v>
      </x:c>
    </x:row>
    <x:row r="65" ht="23" customHeight="1">
      <x:c r="A65" s="6" t="n">
        <x:v>46251</x:v>
      </x:c>
      <x:c r="B65" s="1" t="str">
        <x:v>GOLOSINAS</x:v>
      </x:c>
      <x:c r="C65" s="7" t="n">
        <x:v>72</x:v>
      </x:c>
      <x:c r="D65" s="7" t="n">
        <x:v>70.75</x:v>
      </x:c>
      <x:c r="E65" s="8" t="n">
        <x:f>IF(C65=0,"",ABS((D65-C65)/C65))</x:f>
        <x:v>0.017361111111111112</x:v>
      </x:c>
    </x:row>
    <x:row r="66" ht="23" customHeight="1">
      <x:c r="A66" s="6" t="n">
        <x:v>46252</x:v>
      </x:c>
      <x:c r="B66" s="1" t="str">
        <x:v>GOLOSINAS</x:v>
      </x:c>
      <x:c r="C66" s="7" t="n">
        <x:v>72</x:v>
      </x:c>
      <x:c r="D66" s="7" t="n">
        <x:v>69</x:v>
      </x:c>
      <x:c r="E66" s="8" t="n">
        <x:f>IF(C66=0,"",ABS((D66-C66)/C66))</x:f>
        <x:v>0.041666666666666664</x:v>
      </x:c>
    </x:row>
    <x:row r="67" ht="23" customHeight="1">
      <x:c r="A67" s="6" t="n">
        <x:v>46253</x:v>
      </x:c>
      <x:c r="B67" s="1" t="str">
        <x:v>GOLOSINAS</x:v>
      </x:c>
      <x:c r="C67" s="7" t="n">
        <x:v>63</x:v>
      </x:c>
      <x:c r="D67" s="7" t="n">
        <x:v>65.5</x:v>
      </x:c>
      <x:c r="E67" s="8" t="n">
        <x:f>IF(C67=0,"",ABS((D67-C67)/C67))</x:f>
        <x:v>0.03968253968253968</x:v>
      </x:c>
    </x:row>
    <x:row r="68" ht="23" customHeight="1">
      <x:c r="A68" s="6" t="n">
        <x:v>46254</x:v>
      </x:c>
      <x:c r="B68" s="1" t="str">
        <x:v>GOLOSINAS</x:v>
      </x:c>
      <x:c r="C68" s="7" t="n">
        <x:v>50</x:v>
      </x:c>
      <x:c r="D68" s="7" t="n">
        <x:v>70</x:v>
      </x:c>
      <x:c r="E68" s="8" t="n">
        <x:f>IF(C68=0,"",ABS((D68-C68)/C68))</x:f>
        <x:v>0.4</x:v>
      </x:c>
    </x:row>
    <x:row r="69" ht="23" customHeight="1">
      <x:c r="A69" s="6" t="n">
        <x:v>46255</x:v>
      </x:c>
      <x:c r="B69" s="1" t="str">
        <x:v>GOLOSINAS</x:v>
      </x:c>
      <x:c r="C69" s="7" t="n">
        <x:v>71</x:v>
      </x:c>
      <x:c r="D69" s="7" t="n">
        <x:v>72.5</x:v>
      </x:c>
      <x:c r="E69" s="8" t="n">
        <x:f>IF(C69=0,"",ABS((D69-C69)/C69))</x:f>
        <x:v>0.02112676056338028</x:v>
      </x:c>
    </x:row>
    <x:row r="70" ht="23" customHeight="1">
      <x:c r="A70" s="6" t="n">
        <x:v>46256</x:v>
      </x:c>
      <x:c r="B70" s="1" t="str">
        <x:v>GOLOSINAS</x:v>
      </x:c>
      <x:c r="C70" s="7" t="n">
        <x:v>114</x:v>
      </x:c>
      <x:c r="D70" s="7" t="n">
        <x:v>85.75</x:v>
      </x:c>
      <x:c r="E70" s="8" t="n">
        <x:f>IF(C70=0,"",ABS((D70-C70)/C70))</x:f>
        <x:v>0.24780701754385964</x:v>
      </x:c>
    </x:row>
    <x:row r="71" ht="23" customHeight="1">
      <x:c r="A71" s="6" t="n">
        <x:v>46257</x:v>
      </x:c>
      <x:c r="B71" s="1" t="str">
        <x:v>GOLOSINAS</x:v>
      </x:c>
      <x:c r="C71" s="7" t="n">
        <x:v>76</x:v>
      </x:c>
      <x:c r="D71" s="7" t="n">
        <x:v>80.75</x:v>
      </x:c>
      <x:c r="E71" s="8" t="n">
        <x:f>IF(C71=0,"",ABS((D71-C71)/C71))</x:f>
        <x:v>0.0625</x:v>
      </x:c>
    </x:row>
    <x:row r="72" ht="23" customHeight="1">
      <x:c r="A72" s="6" t="n">
        <x:v>46258</x:v>
      </x:c>
      <x:c r="B72" s="1" t="str">
        <x:v>GOLOSINAS</x:v>
      </x:c>
      <x:c r="C72" s="7" t="n">
        <x:v>39</x:v>
      </x:c>
      <x:c r="D72" s="7" t="n">
        <x:v>76.19</x:v>
      </x:c>
      <x:c r="E72" s="8" t="n">
        <x:f>IF(C72=0,"",ABS((D72-C72)/C72))</x:f>
        <x:v>0.9535897435897436</x:v>
      </x:c>
    </x:row>
    <x:row r="73" ht="23" customHeight="1">
      <x:c r="A73" s="6" t="n">
        <x:v>46259</x:v>
      </x:c>
      <x:c r="B73" s="1" t="str">
        <x:v>GOLOSINAS</x:v>
      </x:c>
      <x:c r="C73" s="7" t="n">
        <x:v>87</x:v>
      </x:c>
      <x:c r="D73" s="7" t="n">
        <x:v>67.5</x:v>
      </x:c>
      <x:c r="E73" s="8" t="n">
        <x:f>IF(C73=0,"",ABS((D73-C73)/C73))</x:f>
        <x:v>0.22413793103448276</x:v>
      </x:c>
    </x:row>
    <x:row r="74" ht="23" customHeight="1">
      <x:c r="A74" s="6" t="n">
        <x:v>46260</x:v>
      </x:c>
      <x:c r="B74" s="1" t="str">
        <x:v>GOLOSINAS</x:v>
      </x:c>
      <x:c r="C74" s="7" t="n">
        <x:v>61</x:v>
      </x:c>
      <x:c r="D74" s="7" t="n">
        <x:v>63.62</x:v>
      </x:c>
      <x:c r="E74" s="8" t="n">
        <x:f>IF(C74=0,"",ABS((D74-C74)/C74))</x:f>
        <x:v>0.04295081967213111</x:v>
      </x:c>
    </x:row>
    <x:row r="75" ht="23" customHeight="1">
      <x:c r="A75" s="6" t="n">
        <x:v>46261</x:v>
      </x:c>
      <x:c r="B75" s="1" t="str">
        <x:v>GOLOSINAS</x:v>
      </x:c>
      <x:c r="C75" s="7" t="n">
        <x:v>71</x:v>
      </x:c>
      <x:c r="D75" s="7" t="n">
        <x:v>72.25</x:v>
      </x:c>
      <x:c r="E75" s="8" t="n">
        <x:f>IF(C75=0,"",ABS((D75-C75)/C75))</x:f>
        <x:v>0.017605633802816902</x:v>
      </x:c>
    </x:row>
    <x:row r="76" ht="23" customHeight="1">
      <x:c r="A76" s="6" t="n">
        <x:v>46262</x:v>
      </x:c>
      <x:c r="B76" s="1" t="str">
        <x:v>GOLOSINAS</x:v>
      </x:c>
      <x:c r="C76" s="7" t="n">
        <x:v>91</x:v>
      </x:c>
      <x:c r="D76" s="7" t="n">
        <x:v>81.12</x:v>
      </x:c>
      <x:c r="E76" s="8" t="n">
        <x:f>IF(C76=0,"",ABS((D76-C76)/C76))</x:f>
        <x:v>0.10857142857142853</x:v>
      </x:c>
    </x:row>
    <x:row r="77" ht="23" customHeight="1">
      <x:c r="A77" s="6" t="n">
        <x:v>46263</x:v>
      </x:c>
      <x:c r="B77" s="1" t="str">
        <x:v>GOLOSINAS</x:v>
      </x:c>
      <x:c r="C77" s="7" t="n">
        <x:v>88</x:v>
      </x:c>
      <x:c r="D77" s="7" t="n">
        <x:v>89.19</x:v>
      </x:c>
      <x:c r="E77" s="8" t="n">
        <x:f>IF(C77=0,"",ABS((D77-C77)/C77))</x:f>
        <x:v>0.013522727272727247</x:v>
      </x:c>
    </x:row>
    <x:row r="78" ht="23" customHeight="1">
      <x:c r="A78" s="6" t="n">
        <x:v>46264</x:v>
      </x:c>
      <x:c r="B78" s="1" t="str">
        <x:v>GOLOSINAS</x:v>
      </x:c>
      <x:c r="C78" s="7" t="n">
        <x:v>76</x:v>
      </x:c>
      <x:c r="D78" s="7" t="n">
        <x:v>77.44</x:v>
      </x:c>
      <x:c r="E78" s="8" t="n">
        <x:f>IF(C78=0,"",ABS((D78-C78)/C78))</x:f>
        <x:v>0.0189473684210526</x:v>
      </x:c>
    </x:row>
    <x:row r="79" ht="23" customHeight="1">
      <x:c r="A79" s="6" t="n">
        <x:v>46265</x:v>
      </x:c>
      <x:c r="B79" s="1" t="str">
        <x:v>GOLOSINAS</x:v>
      </x:c>
      <x:c r="C79" s="7" t="n">
        <x:v>59</x:v>
      </x:c>
      <x:c r="D79" s="7" t="n">
        <x:v>75.48</x:v>
      </x:c>
      <x:c r="E79" s="8" t="n">
        <x:f>IF(C79=0,"",ABS((D79-C79)/C79))</x:f>
        <x:v>0.2793220338983052</x:v>
      </x:c>
    </x:row>
    <x:row r="80" ht="23" customHeight="1">
      <x:c r="A80" s="6" t="n">
        <x:v>46266</x:v>
      </x:c>
      <x:c r="B80" s="1" t="str">
        <x:v>GOLOSINAS</x:v>
      </x:c>
      <x:c r="C80" s="7" t="n">
        <x:v>78</x:v>
      </x:c>
      <x:c r="D80" s="7" t="n">
        <x:v>66.62</x:v>
      </x:c>
      <x:c r="E80" s="8" t="n">
        <x:f>IF(C80=0,"",ABS((D80-C80)/C80))</x:f>
        <x:v>0.14589743589743584</x:v>
      </x:c>
    </x:row>
    <x:row r="81" ht="23" customHeight="1">
      <x:c r="A81" s="6" t="n">
        <x:v>46267</x:v>
      </x:c>
      <x:c r="B81" s="1" t="str">
        <x:v>GOLOSINAS</x:v>
      </x:c>
      <x:c r="C81" s="7" t="n">
        <x:v>41</x:v>
      </x:c>
      <x:c r="D81" s="7" t="n">
        <x:v>64.53</x:v>
      </x:c>
      <x:c r="E81" s="8" t="n">
        <x:f>IF(C81=0,"",ABS((D81-C81)/C81))</x:f>
        <x:v>0.5739024390243903</x:v>
      </x:c>
    </x:row>
    <x:row r="82" ht="23" customHeight="1">
      <x:c r="A82" s="6" t="n">
        <x:v>46268</x:v>
      </x:c>
      <x:c r="B82" s="1" t="str">
        <x:v>GOLOSINAS</x:v>
      </x:c>
      <x:c r="C82" s="7" t="n">
        <x:v>50</x:v>
      </x:c>
      <x:c r="D82" s="7" t="n">
        <x:v>70.81</x:v>
      </x:c>
      <x:c r="E82" s="8" t="n">
        <x:f>IF(C82=0,"",ABS((D82-C82)/C82))</x:f>
        <x:v>0.41620000000000007</x:v>
      </x:c>
    </x:row>
    <x:row r="83" ht="23" customHeight="1">
      <x:c r="A83" s="6" t="n">
        <x:v>46269</x:v>
      </x:c>
      <x:c r="B83" s="1" t="str">
        <x:v>GOLOSINAS</x:v>
      </x:c>
      <x:c r="C83" s="7" t="n">
        <x:v>83</x:v>
      </x:c>
      <x:c r="D83" s="7" t="n">
        <x:v>81.16</x:v>
      </x:c>
      <x:c r="E83" s="8" t="n">
        <x:f>IF(C83=0,"",ABS((D83-C83)/C83))</x:f>
        <x:v>0.022168674698795222</x:v>
      </x:c>
    </x:row>
    <x:row r="84" ht="23" customHeight="1">
      <x:c r="A84" s="6" t="n">
        <x:v>46270</x:v>
      </x:c>
      <x:c r="B84" s="1" t="str">
        <x:v>GOLOSINAS</x:v>
      </x:c>
      <x:c r="C84" s="7" t="n">
        <x:v>75</x:v>
      </x:c>
      <x:c r="D84" s="7" t="n">
        <x:v>90.48</x:v>
      </x:c>
      <x:c r="E84" s="8" t="n">
        <x:f>IF(C84=0,"",ABS((D84-C84)/C84))</x:f>
        <x:v>0.20640000000000006</x:v>
      </x:c>
    </x:row>
    <x:row r="85" ht="23" customHeight="1">
      <x:c r="A85" s="6" t="n">
        <x:v>46271</x:v>
      </x:c>
      <x:c r="B85" s="1" t="str">
        <x:v>GOLOSINAS</x:v>
      </x:c>
      <x:c r="C85" s="7" t="n">
        <x:v>110</x:v>
      </x:c>
      <x:c r="D85" s="7" t="n">
        <x:v>73.05</x:v>
      </x:c>
      <x:c r="E85" s="8" t="n">
        <x:f>IF(C85=0,"",ABS((D85-C85)/C85))</x:f>
        <x:v>0.33590909090909093</x:v>
      </x:c>
    </x:row>
    <x:row r="86" ht="23" customHeight="1">
      <x:c r="A86" s="6" t="n">
        <x:v>46272</x:v>
      </x:c>
      <x:c r="B86" s="1" t="str">
        <x:v>GOLOSINAS</x:v>
      </x:c>
      <x:c r="C86" s="7" t="n">
        <x:v>67</x:v>
      </x:c>
      <x:c r="D86" s="7" t="n">
        <x:v>72.36</x:v>
      </x:c>
      <x:c r="E86" s="8" t="n">
        <x:f>IF(C86=0,"",ABS((D86-C86)/C86))</x:f>
        <x:v>0.07999999999999999</x:v>
      </x:c>
    </x:row>
    <x:row r="87" ht="23" customHeight="1">
      <x:c r="A87" s="6" t="n">
        <x:v>46273</x:v>
      </x:c>
      <x:c r="B87" s="1" t="str">
        <x:v>GOLOSINAS</x:v>
      </x:c>
      <x:c r="C87" s="7" t="n">
        <x:v>39</x:v>
      </x:c>
      <x:c r="D87" s="7" t="n">
        <x:v>70.03</x:v>
      </x:c>
      <x:c r="E87" s="8" t="n">
        <x:f>IF(C87=0,"",ABS((D87-C87)/C87))</x:f>
        <x:v>0.7956410256410257</x:v>
      </x:c>
    </x:row>
    <x:row r="88" ht="23" customHeight="1">
      <x:c r="A88" s="6" t="n">
        <x:v>46274</x:v>
      </x:c>
      <x:c r="B88" s="1" t="str">
        <x:v>GOLOSINAS</x:v>
      </x:c>
      <x:c r="C88" s="7" t="n">
        <x:v>70</x:v>
      </x:c>
      <x:c r="D88" s="7" t="n">
        <x:v>68.41</x:v>
      </x:c>
      <x:c r="E88" s="8" t="n">
        <x:f>IF(C88=0,"",ABS((D88-C88)/C88))</x:f>
        <x:v>0.022714285714285763</x:v>
      </x:c>
    </x:row>
    <x:row r="89" ht="23" customHeight="1">
      <x:c r="A89" s="6" t="n">
        <x:v>46275</x:v>
      </x:c>
      <x:c r="B89" s="1" t="str">
        <x:v>GOLOSINAS</x:v>
      </x:c>
      <x:c r="C89" s="7" t="n">
        <x:v>56</x:v>
      </x:c>
      <x:c r="D89" s="7" t="n">
        <x:v>68.77</x:v>
      </x:c>
      <x:c r="E89" s="8" t="n">
        <x:f>IF(C89=0,"",ABS((D89-C89)/C89))</x:f>
        <x:v>0.2280357142857142</x:v>
      </x:c>
    </x:row>
    <x:row r="90" ht="23" customHeight="1">
      <x:c r="A90" s="6" t="n">
        <x:v>46276</x:v>
      </x:c>
      <x:c r="B90" s="1" t="str">
        <x:v>GOLOSINAS</x:v>
      </x:c>
      <x:c r="C90" s="7" t="n">
        <x:v>61</x:v>
      </x:c>
      <x:c r="D90" s="7" t="n">
        <x:v>83.19</x:v>
      </x:c>
      <x:c r="E90" s="8" t="n">
        <x:f>IF(C90=0,"",ABS((D90-C90)/C90))</x:f>
        <x:v>0.36377049180327864</x:v>
      </x:c>
    </x:row>
    <x:row r="91" ht="23" customHeight="1">
      <x:c r="A91" s="6" t="n">
        <x:v>46277</x:v>
      </x:c>
      <x:c r="B91" s="1" t="str">
        <x:v>GOLOSINAS</x:v>
      </x:c>
      <x:c r="C91" s="7" t="n">
        <x:v>56</x:v>
      </x:c>
      <x:c r="D91" s="7" t="n">
        <x:v>89.36</x:v>
      </x:c>
      <x:c r="E91" s="8" t="n">
        <x:f>IF(C91=0,"",ABS((D91-C91)/C91))</x:f>
        <x:v>0.5957142857142858</x:v>
      </x:c>
    </x:row>
    <x:row r="92" ht="23" customHeight="1">
      <x:c r="A92" s="6" t="n">
        <x:v>46278</x:v>
      </x:c>
      <x:c r="B92" s="1" t="str">
        <x:v>GOLOSINAS</x:v>
      </x:c>
      <x:c r="C92" s="7" t="n">
        <x:v>88</x:v>
      </x:c>
      <x:c r="D92" s="7" t="n">
        <x:v>69.06</x:v>
      </x:c>
      <x:c r="E92" s="8" t="n">
        <x:f>IF(C92=0,"",ABS((D92-C92)/C92))</x:f>
        <x:v>0.2152272727272727</x:v>
      </x:c>
    </x:row>
    <x:row r="93" ht="23" customHeight="1">
      <x:c r="A93" s="6" t="n">
        <x:v>46279</x:v>
      </x:c>
      <x:c r="B93" s="1" t="str">
        <x:v>GOLOSINAS</x:v>
      </x:c>
      <x:c r="C93" s="7" t="n">
        <x:v>98</x:v>
      </x:c>
      <x:c r="D93" s="7" t="n">
        <x:v>73.69</x:v>
      </x:c>
      <x:c r="E93" s="8" t="n">
        <x:f>IF(C93=0,"",ABS((D93-C93)/C93))</x:f>
        <x:v>0.24806122448979595</x:v>
      </x:c>
    </x:row>
    <x:row r="94" ht="23" customHeight="1">
      <x:c r="A94" s="6" t="n">
        <x:v>46280</x:v>
      </x:c>
      <x:c r="B94" s="1" t="str">
        <x:v>GOLOSINAS</x:v>
      </x:c>
      <x:c r="C94" s="7" t="n">
        <x:v>67</x:v>
      </x:c>
      <x:c r="D94" s="7" t="n">
        <x:v>68.29</x:v>
      </x:c>
      <x:c r="E94" s="8" t="n">
        <x:f>IF(C94=0,"",ABS((D94-C94)/C94))</x:f>
        <x:v>0.019253731343283675</x:v>
      </x:c>
    </x:row>
    <x:row r="95" ht="23" customHeight="1">
      <x:c r="A95" s="6" t="n">
        <x:v>46251</x:v>
      </x:c>
      <x:c r="B95" s="1" t="str">
        <x:v>HELADOS</x:v>
      </x:c>
      <x:c r="C95" s="7" t="n">
        <x:v>31</x:v>
      </x:c>
      <x:c r="D95" s="7" t="n">
        <x:v>22.97</x:v>
      </x:c>
      <x:c r="E95" s="8" t="n">
        <x:f>IF(C95=0,"",ABS((D95-C95)/C95))</x:f>
        <x:v>0.2590322580645162</x:v>
      </x:c>
    </x:row>
    <x:row r="96" ht="23" customHeight="1">
      <x:c r="A96" s="6" t="n">
        <x:v>46252</x:v>
      </x:c>
      <x:c r="B96" s="1" t="str">
        <x:v>HELADOS</x:v>
      </x:c>
      <x:c r="C96" s="7" t="n">
        <x:v>45</x:v>
      </x:c>
      <x:c r="D96" s="7" t="n">
        <x:v>23.48</x:v>
      </x:c>
      <x:c r="E96" s="8" t="n">
        <x:f>IF(C96=0,"",ABS((D96-C96)/C96))</x:f>
        <x:v>0.4782222222222222</x:v>
      </x:c>
    </x:row>
    <x:row r="97" ht="23" customHeight="1">
      <x:c r="A97" s="6" t="n">
        <x:v>46253</x:v>
      </x:c>
      <x:c r="B97" s="1" t="str">
        <x:v>HELADOS</x:v>
      </x:c>
      <x:c r="C97" s="7" t="n">
        <x:v>9</x:v>
      </x:c>
      <x:c r="D97" s="7" t="n">
        <x:v>24.52</x:v>
      </x:c>
      <x:c r="E97" s="8" t="n">
        <x:f>IF(C97=0,"",ABS((D97-C97)/C97))</x:f>
        <x:v>1.7244444444444444</x:v>
      </x:c>
    </x:row>
    <x:row r="98" ht="23" customHeight="1">
      <x:c r="A98" s="6" t="n">
        <x:v>46254</x:v>
      </x:c>
      <x:c r="B98" s="1" t="str">
        <x:v>HELADOS</x:v>
      </x:c>
      <x:c r="C98" s="7" t="n">
        <x:v>22</x:v>
      </x:c>
      <x:c r="D98" s="7" t="n">
        <x:v>24.45</x:v>
      </x:c>
      <x:c r="E98" s="8" t="n">
        <x:f>IF(C98=0,"",ABS((D98-C98)/C98))</x:f>
        <x:v>0.11136363636363633</x:v>
      </x:c>
    </x:row>
    <x:row r="99" ht="23" customHeight="1">
      <x:c r="A99" s="6" t="n">
        <x:v>46255</x:v>
      </x:c>
      <x:c r="B99" s="1" t="str">
        <x:v>HELADOS</x:v>
      </x:c>
      <x:c r="C99" s="7" t="n">
        <x:v>31</x:v>
      </x:c>
      <x:c r="D99" s="7" t="n">
        <x:v>23.13</x:v>
      </x:c>
      <x:c r="E99" s="8" t="n">
        <x:f>IF(C99=0,"",ABS((D99-C99)/C99))</x:f>
        <x:v>0.2538709677419355</x:v>
      </x:c>
    </x:row>
    <x:row r="100" ht="23" customHeight="1">
      <x:c r="A100" s="6" t="n">
        <x:v>46256</x:v>
      </x:c>
      <x:c r="B100" s="1" t="str">
        <x:v>HELADOS</x:v>
      </x:c>
      <x:c r="C100" s="7" t="n">
        <x:v>44</x:v>
      </x:c>
      <x:c r="D100" s="7" t="n">
        <x:v>23.52</x:v>
      </x:c>
      <x:c r="E100" s="8" t="n">
        <x:f>IF(C100=0,"",ABS((D100-C100)/C100))</x:f>
        <x:v>0.46545454545454545</x:v>
      </x:c>
    </x:row>
    <x:row r="101" ht="23" customHeight="1">
      <x:c r="A101" s="6" t="n">
        <x:v>46257</x:v>
      </x:c>
      <x:c r="B101" s="1" t="str">
        <x:v>HELADOS</x:v>
      </x:c>
      <x:c r="C101" s="7" t="n">
        <x:v>24</x:v>
      </x:c>
      <x:c r="D101" s="7" t="n">
        <x:v>21.54</x:v>
      </x:c>
      <x:c r="E101" s="8" t="n">
        <x:f>IF(C101=0,"",ABS((D101-C101)/C101))</x:f>
        <x:v>0.10250000000000004</x:v>
      </x:c>
    </x:row>
    <x:row r="102" ht="23" customHeight="1">
      <x:c r="A102" s="6" t="n">
        <x:v>46258</x:v>
      </x:c>
      <x:c r="B102" s="1" t="str">
        <x:v>HELADOS</x:v>
      </x:c>
      <x:c r="C102" s="7" t="n">
        <x:v>31</x:v>
      </x:c>
      <x:c r="D102" s="7" t="n">
        <x:v>20.95</x:v>
      </x:c>
      <x:c r="E102" s="8" t="n">
        <x:f>IF(C102=0,"",ABS((D102-C102)/C102))</x:f>
        <x:v>0.3241935483870968</x:v>
      </x:c>
    </x:row>
    <x:row r="103" ht="23" customHeight="1">
      <x:c r="A103" s="6" t="n">
        <x:v>46259</x:v>
      </x:c>
      <x:c r="B103" s="1" t="str">
        <x:v>HELADOS</x:v>
      </x:c>
      <x:c r="C103" s="7" t="n">
        <x:v>24</x:v>
      </x:c>
      <x:c r="D103" s="7" t="n">
        <x:v>23.76</x:v>
      </x:c>
      <x:c r="E103" s="8" t="n">
        <x:f>IF(C103=0,"",ABS((D103-C103)/C103))</x:f>
        <x:v>0.009999999999999934</x:v>
      </x:c>
    </x:row>
    <x:row r="104" ht="23" customHeight="1">
      <x:c r="A104" s="6" t="n">
        <x:v>46260</x:v>
      </x:c>
      <x:c r="B104" s="1" t="str">
        <x:v>HELADOS</x:v>
      </x:c>
      <x:c r="C104" s="7" t="n">
        <x:v>21</x:v>
      </x:c>
      <x:c r="D104" s="7" t="n">
        <x:v>23.22</x:v>
      </x:c>
      <x:c r="E104" s="8" t="n">
        <x:f>IF(C104=0,"",ABS((D104-C104)/C104))</x:f>
        <x:v>0.10571428571428566</x:v>
      </x:c>
    </x:row>
    <x:row r="105" ht="23" customHeight="1">
      <x:c r="A105" s="6" t="n">
        <x:v>46261</x:v>
      </x:c>
      <x:c r="B105" s="1" t="str">
        <x:v>HELADOS</x:v>
      </x:c>
      <x:c r="C105" s="7" t="n">
        <x:v>27</x:v>
      </x:c>
      <x:c r="D105" s="7" t="n">
        <x:v>25</x:v>
      </x:c>
      <x:c r="E105" s="8" t="n">
        <x:f>IF(C105=0,"",ABS((D105-C105)/C105))</x:f>
        <x:v>0.07407407407407407</x:v>
      </x:c>
    </x:row>
    <x:row r="106" ht="23" customHeight="1">
      <x:c r="A106" s="6" t="n">
        <x:v>46262</x:v>
      </x:c>
      <x:c r="B106" s="1" t="str">
        <x:v>HELADOS</x:v>
      </x:c>
      <x:c r="C106" s="7" t="n">
        <x:v>31</x:v>
      </x:c>
      <x:c r="D106" s="7" t="n">
        <x:v>24.79</x:v>
      </x:c>
      <x:c r="E106" s="8" t="n">
        <x:f>IF(C106=0,"",ABS((D106-C106)/C106))</x:f>
        <x:v>0.2003225806451613</x:v>
      </x:c>
    </x:row>
    <x:row r="107" ht="23" customHeight="1">
      <x:c r="A107" s="6" t="n">
        <x:v>46263</x:v>
      </x:c>
      <x:c r="B107" s="1" t="str">
        <x:v>HELADOS</x:v>
      </x:c>
      <x:c r="C107" s="7" t="n">
        <x:v>42</x:v>
      </x:c>
      <x:c r="D107" s="7" t="n">
        <x:v>27.07</x:v>
      </x:c>
      <x:c r="E107" s="8" t="n">
        <x:f>IF(C107=0,"",ABS((D107-C107)/C107))</x:f>
        <x:v>0.35547619047619045</x:v>
      </x:c>
    </x:row>
    <x:row r="108" ht="23" customHeight="1">
      <x:c r="A108" s="6" t="n">
        <x:v>46264</x:v>
      </x:c>
      <x:c r="B108" s="1" t="str">
        <x:v>HELADOS</x:v>
      </x:c>
      <x:c r="C108" s="7" t="n">
        <x:v>28</x:v>
      </x:c>
      <x:c r="D108" s="7" t="n">
        <x:v>25.86</x:v>
      </x:c>
      <x:c r="E108" s="8" t="n">
        <x:f>IF(C108=0,"",ABS((D108-C108)/C108))</x:f>
        <x:v>0.07642857142857144</x:v>
      </x:c>
    </x:row>
    <x:row r="109" ht="23" customHeight="1">
      <x:c r="A109" s="6" t="n">
        <x:v>46265</x:v>
      </x:c>
      <x:c r="B109" s="1" t="str">
        <x:v>HELADOS</x:v>
      </x:c>
      <x:c r="C109" s="7" t="n">
        <x:v>26</x:v>
      </x:c>
      <x:c r="D109" s="7" t="n">
        <x:v>20.78</x:v>
      </x:c>
      <x:c r="E109" s="8" t="n">
        <x:f>IF(C109=0,"",ABS((D109-C109)/C109))</x:f>
        <x:v>0.20076923076923073</x:v>
      </x:c>
    </x:row>
    <x:row r="110" ht="23" customHeight="1">
      <x:c r="A110" s="6" t="n">
        <x:v>46266</x:v>
      </x:c>
      <x:c r="B110" s="1" t="str">
        <x:v>HELADOS</x:v>
      </x:c>
      <x:c r="C110" s="7" t="n">
        <x:v>26</x:v>
      </x:c>
      <x:c r="D110" s="7" t="n">
        <x:v>23.15</x:v>
      </x:c>
      <x:c r="E110" s="8" t="n">
        <x:f>IF(C110=0,"",ABS((D110-C110)/C110))</x:f>
        <x:v>0.10961538461538467</x:v>
      </x:c>
    </x:row>
    <x:row r="111" ht="23" customHeight="1">
      <x:c r="A111" s="6" t="n">
        <x:v>46267</x:v>
      </x:c>
      <x:c r="B111" s="1" t="str">
        <x:v>HELADOS</x:v>
      </x:c>
      <x:c r="C111" s="7" t="n">
        <x:v>25</x:v>
      </x:c>
      <x:c r="D111" s="7" t="n">
        <x:v>21.4</x:v>
      </x:c>
      <x:c r="E111" s="8" t="n">
        <x:f>IF(C111=0,"",ABS((D111-C111)/C111))</x:f>
        <x:v>0.14400000000000004</x:v>
      </x:c>
    </x:row>
    <x:row r="112" ht="23" customHeight="1">
      <x:c r="A112" s="6" t="n">
        <x:v>46268</x:v>
      </x:c>
      <x:c r="B112" s="1" t="str">
        <x:v>HELADOS</x:v>
      </x:c>
      <x:c r="C112" s="7" t="n">
        <x:v>18</x:v>
      </x:c>
      <x:c r="D112" s="7" t="n">
        <x:v>22.5</x:v>
      </x:c>
      <x:c r="E112" s="8" t="n">
        <x:f>IF(C112=0,"",ABS((D112-C112)/C112))</x:f>
        <x:v>0.25</x:v>
      </x:c>
    </x:row>
    <x:row r="113" ht="23" customHeight="1">
      <x:c r="A113" s="6" t="n">
        <x:v>46269</x:v>
      </x:c>
      <x:c r="B113" s="1" t="str">
        <x:v>HELADOS</x:v>
      </x:c>
      <x:c r="C113" s="7" t="n">
        <x:v>30</x:v>
      </x:c>
      <x:c r="D113" s="7" t="n">
        <x:v>23.73</x:v>
      </x:c>
      <x:c r="E113" s="8" t="n">
        <x:f>IF(C113=0,"",ABS((D113-C113)/C113))</x:f>
        <x:v>0.209</x:v>
      </x:c>
    </x:row>
    <x:row r="114" ht="23" customHeight="1">
      <x:c r="A114" s="6" t="n">
        <x:v>46270</x:v>
      </x:c>
      <x:c r="B114" s="1" t="str">
        <x:v>HELADOS</x:v>
      </x:c>
      <x:c r="C114" s="7" t="n">
        <x:v>40</x:v>
      </x:c>
      <x:c r="D114" s="7" t="n">
        <x:v>25.71</x:v>
      </x:c>
      <x:c r="E114" s="8" t="n">
        <x:f>IF(C114=0,"",ABS((D114-C114)/C114))</x:f>
        <x:v>0.35724999999999996</x:v>
      </x:c>
    </x:row>
    <x:row r="115" ht="23" customHeight="1">
      <x:c r="A115" s="6" t="n">
        <x:v>46271</x:v>
      </x:c>
      <x:c r="B115" s="1" t="str">
        <x:v>HELADOS</x:v>
      </x:c>
      <x:c r="C115" s="7" t="n">
        <x:v>22</x:v>
      </x:c>
      <x:c r="D115" s="7" t="n">
        <x:v>25.86</x:v>
      </x:c>
      <x:c r="E115" s="8" t="n">
        <x:f>IF(C115=0,"",ABS((D115-C115)/C115))</x:f>
        <x:v>0.17545454545454542</x:v>
      </x:c>
    </x:row>
    <x:row r="116" ht="23" customHeight="1">
      <x:c r="A116" s="6" t="n">
        <x:v>46272</x:v>
      </x:c>
      <x:c r="B116" s="1" t="str">
        <x:v>HELADOS</x:v>
      </x:c>
      <x:c r="C116" s="7" t="n">
        <x:v>29</x:v>
      </x:c>
      <x:c r="D116" s="7" t="n">
        <x:v>23.74</x:v>
      </x:c>
      <x:c r="E116" s="8" t="n">
        <x:f>IF(C116=0,"",ABS((D116-C116)/C116))</x:f>
        <x:v>0.18137931034482763</x:v>
      </x:c>
    </x:row>
    <x:row r="117" ht="23" customHeight="1">
      <x:c r="A117" s="6" t="n">
        <x:v>46273</x:v>
      </x:c>
      <x:c r="B117" s="1" t="str">
        <x:v>HELADOS</x:v>
      </x:c>
      <x:c r="C117" s="7" t="n">
        <x:v>20</x:v>
      </x:c>
      <x:c r="D117" s="7" t="n">
        <x:v>22.81</x:v>
      </x:c>
      <x:c r="E117" s="8" t="n">
        <x:f>IF(C117=0,"",ABS((D117-C117)/C117))</x:f>
        <x:v>0.14049999999999993</x:v>
      </x:c>
    </x:row>
    <x:row r="118" ht="23" customHeight="1">
      <x:c r="A118" s="6" t="n">
        <x:v>46274</x:v>
      </x:c>
      <x:c r="B118" s="1" t="str">
        <x:v>HELADOS</x:v>
      </x:c>
      <x:c r="C118" s="7" t="n">
        <x:v>11</x:v>
      </x:c>
      <x:c r="D118" s="7" t="n">
        <x:v>23.26</x:v>
      </x:c>
      <x:c r="E118" s="8" t="n">
        <x:f>IF(C118=0,"",ABS((D118-C118)/C118))</x:f>
        <x:v>1.1145454545454547</x:v>
      </x:c>
    </x:row>
    <x:row r="119" ht="23" customHeight="1">
      <x:c r="A119" s="6" t="n">
        <x:v>46275</x:v>
      </x:c>
      <x:c r="B119" s="1" t="str">
        <x:v>HELADOS</x:v>
      </x:c>
      <x:c r="C119" s="7" t="n">
        <x:v>13</x:v>
      </x:c>
      <x:c r="D119" s="7" t="n">
        <x:v>23.43</x:v>
      </x:c>
      <x:c r="E119" s="8" t="n">
        <x:f>IF(C119=0,"",ABS((D119-C119)/C119))</x:f>
        <x:v>0.8023076923076923</x:v>
      </x:c>
    </x:row>
    <x:row r="120" ht="23" customHeight="1">
      <x:c r="A120" s="6" t="n">
        <x:v>46276</x:v>
      </x:c>
      <x:c r="B120" s="1" t="str">
        <x:v>HELADOS</x:v>
      </x:c>
      <x:c r="C120" s="7" t="n">
        <x:v>28</x:v>
      </x:c>
      <x:c r="D120" s="7" t="n">
        <x:v>23.21</x:v>
      </x:c>
      <x:c r="E120" s="8" t="n">
        <x:f>IF(C120=0,"",ABS((D120-C120)/C120))</x:f>
        <x:v>0.17107142857142854</x:v>
      </x:c>
    </x:row>
    <x:row r="121" ht="23" customHeight="1">
      <x:c r="A121" s="6" t="n">
        <x:v>46277</x:v>
      </x:c>
      <x:c r="B121" s="1" t="str">
        <x:v>HELADOS</x:v>
      </x:c>
      <x:c r="C121" s="7" t="n">
        <x:v>27</x:v>
      </x:c>
      <x:c r="D121" s="7" t="n">
        <x:v>24.44</x:v>
      </x:c>
      <x:c r="E121" s="8" t="n">
        <x:f>IF(C121=0,"",ABS((D121-C121)/C121))</x:f>
        <x:v>0.09481481481481477</x:v>
      </x:c>
    </x:row>
    <x:row r="122" ht="23" customHeight="1">
      <x:c r="A122" s="6" t="n">
        <x:v>46278</x:v>
      </x:c>
      <x:c r="B122" s="1" t="str">
        <x:v>HELADOS</x:v>
      </x:c>
      <x:c r="C122" s="7" t="n">
        <x:v>29</x:v>
      </x:c>
      <x:c r="D122" s="7" t="n">
        <x:v>23.89</x:v>
      </x:c>
      <x:c r="E122" s="8" t="n">
        <x:f>IF(C122=0,"",ABS((D122-C122)/C122))</x:f>
        <x:v>0.1762068965517241</x:v>
      </x:c>
    </x:row>
    <x:row r="123" ht="23" customHeight="1">
      <x:c r="A123" s="6" t="n">
        <x:v>46279</x:v>
      </x:c>
      <x:c r="B123" s="1" t="str">
        <x:v>HELADOS</x:v>
      </x:c>
      <x:c r="C123" s="7" t="n">
        <x:v>13</x:v>
      </x:c>
      <x:c r="D123" s="7" t="n">
        <x:v>22.42</x:v>
      </x:c>
      <x:c r="E123" s="8" t="n">
        <x:f>IF(C123=0,"",ABS((D123-C123)/C123))</x:f>
        <x:v>0.7246153846153848</x:v>
      </x:c>
    </x:row>
    <x:row r="124" ht="23" customHeight="1">
      <x:c r="A124" s="6" t="n">
        <x:v>46280</x:v>
      </x:c>
      <x:c r="B124" s="1" t="str">
        <x:v>HELADOS</x:v>
      </x:c>
      <x:c r="C124" s="7" t="n">
        <x:v>25</x:v>
      </x:c>
      <x:c r="D124" s="7" t="n">
        <x:v>24.14</x:v>
      </x:c>
      <x:c r="E124" s="8" t="n">
        <x:f>IF(C124=0,"",ABS((D124-C124)/C124))</x:f>
        <x:v>0.03439999999999998</x:v>
      </x:c>
    </x:row>
    <x:row r="125" ht="23" customHeight="1">
      <x:c r="A125" s="6" t="n">
        <x:v>46251</x:v>
      </x:c>
      <x:c r="B125" s="1" t="str">
        <x:v>LIMPIEZA</x:v>
      </x:c>
      <x:c r="C125" s="7" t="n">
        <x:v>20</x:v>
      </x:c>
      <x:c r="D125" s="7" t="n">
        <x:v>18.17</x:v>
      </x:c>
      <x:c r="E125" s="8" t="n">
        <x:f>IF(C125=0,"",ABS((D125-C125)/C125))</x:f>
        <x:v>0.09149999999999991</x:v>
      </x:c>
    </x:row>
    <x:row r="126" ht="23" customHeight="1">
      <x:c r="A126" s="6" t="n">
        <x:v>46252</x:v>
      </x:c>
      <x:c r="B126" s="1" t="str">
        <x:v>LIMPIEZA</x:v>
      </x:c>
      <x:c r="C126" s="7" t="n">
        <x:v>15</x:v>
      </x:c>
      <x:c r="D126" s="7" t="n">
        <x:v>19.08</x:v>
      </x:c>
      <x:c r="E126" s="8" t="n">
        <x:f>IF(C126=0,"",ABS((D126-C126)/C126))</x:f>
        <x:v>0.2719999999999999</x:v>
      </x:c>
    </x:row>
    <x:row r="127" ht="23" customHeight="1">
      <x:c r="A127" s="6" t="n">
        <x:v>46253</x:v>
      </x:c>
      <x:c r="B127" s="1" t="str">
        <x:v>LIMPIEZA</x:v>
      </x:c>
      <x:c r="C127" s="7" t="n">
        <x:v>14</x:v>
      </x:c>
      <x:c r="D127" s="7" t="n">
        <x:v>19.58</x:v>
      </x:c>
      <x:c r="E127" s="8" t="n">
        <x:f>IF(C127=0,"",ABS((D127-C127)/C127))</x:f>
        <x:v>0.39857142857142847</x:v>
      </x:c>
    </x:row>
    <x:row r="128" ht="23" customHeight="1">
      <x:c r="A128" s="6" t="n">
        <x:v>46254</x:v>
      </x:c>
      <x:c r="B128" s="1" t="str">
        <x:v>LIMPIEZA</x:v>
      </x:c>
      <x:c r="C128" s="7" t="n">
        <x:v>13</x:v>
      </x:c>
      <x:c r="D128" s="7" t="n">
        <x:v>19.61</x:v>
      </x:c>
      <x:c r="E128" s="8" t="n">
        <x:f>IF(C128=0,"",ABS((D128-C128)/C128))</x:f>
        <x:v>0.5084615384615384</x:v>
      </x:c>
    </x:row>
    <x:row r="129" ht="23" customHeight="1">
      <x:c r="A129" s="6" t="n">
        <x:v>46255</x:v>
      </x:c>
      <x:c r="B129" s="1" t="str">
        <x:v>LIMPIEZA</x:v>
      </x:c>
      <x:c r="C129" s="7" t="n">
        <x:v>20</x:v>
      </x:c>
      <x:c r="D129" s="7" t="n">
        <x:v>19.1</x:v>
      </x:c>
      <x:c r="E129" s="8" t="n">
        <x:f>IF(C129=0,"",ABS((D129-C129)/C129))</x:f>
        <x:v>0.04499999999999993</x:v>
      </x:c>
    </x:row>
    <x:row r="130" ht="23" customHeight="1">
      <x:c r="A130" s="6" t="n">
        <x:v>46256</x:v>
      </x:c>
      <x:c r="B130" s="1" t="str">
        <x:v>LIMPIEZA</x:v>
      </x:c>
      <x:c r="C130" s="7" t="n">
        <x:v>20</x:v>
      </x:c>
      <x:c r="D130" s="7" t="n">
        <x:v>19.14</x:v>
      </x:c>
      <x:c r="E130" s="8" t="n">
        <x:f>IF(C130=0,"",ABS((D130-C130)/C130))</x:f>
        <x:v>0.04299999999999997</x:v>
      </x:c>
    </x:row>
    <x:row r="131" ht="23" customHeight="1">
      <x:c r="A131" s="6" t="n">
        <x:v>46257</x:v>
      </x:c>
      <x:c r="B131" s="1" t="str">
        <x:v>LIMPIEZA</x:v>
      </x:c>
      <x:c r="C131" s="7" t="n">
        <x:v>11</x:v>
      </x:c>
      <x:c r="D131" s="7" t="n">
        <x:v>19.27</x:v>
      </x:c>
      <x:c r="E131" s="8" t="n">
        <x:f>IF(C131=0,"",ABS((D131-C131)/C131))</x:f>
        <x:v>0.7518181818181818</x:v>
      </x:c>
    </x:row>
    <x:row r="132" ht="23" customHeight="1">
      <x:c r="A132" s="6" t="n">
        <x:v>46258</x:v>
      </x:c>
      <x:c r="B132" s="1" t="str">
        <x:v>LIMPIEZA</x:v>
      </x:c>
      <x:c r="C132" s="7" t="n">
        <x:v>9</x:v>
      </x:c>
      <x:c r="D132" s="7" t="n">
        <x:v>18.53</x:v>
      </x:c>
      <x:c r="E132" s="8" t="n">
        <x:f>IF(C132=0,"",ABS((D132-C132)/C132))</x:f>
        <x:v>1.058888888888889</x:v>
      </x:c>
    </x:row>
    <x:row r="133" ht="23" customHeight="1">
      <x:c r="A133" s="6" t="n">
        <x:v>46259</x:v>
      </x:c>
      <x:c r="B133" s="1" t="str">
        <x:v>LIMPIEZA</x:v>
      </x:c>
      <x:c r="C133" s="7" t="n">
        <x:v>15</x:v>
      </x:c>
      <x:c r="D133" s="7" t="n">
        <x:v>18.71</x:v>
      </x:c>
      <x:c r="E133" s="8" t="n">
        <x:f>IF(C133=0,"",ABS((D133-C133)/C133))</x:f>
        <x:v>0.24733333333333338</x:v>
      </x:c>
    </x:row>
    <x:row r="134" ht="23" customHeight="1">
      <x:c r="A134" s="6" t="n">
        <x:v>46260</x:v>
      </x:c>
      <x:c r="B134" s="1" t="str">
        <x:v>LIMPIEZA</x:v>
      </x:c>
      <x:c r="C134" s="7" t="n">
        <x:v>15</x:v>
      </x:c>
      <x:c r="D134" s="7" t="n">
        <x:v>19.7</x:v>
      </x:c>
      <x:c r="E134" s="8" t="n">
        <x:f>IF(C134=0,"",ABS((D134-C134)/C134))</x:f>
        <x:v>0.3133333333333333</x:v>
      </x:c>
    </x:row>
    <x:row r="135" ht="23" customHeight="1">
      <x:c r="A135" s="6" t="n">
        <x:v>46261</x:v>
      </x:c>
      <x:c r="B135" s="1" t="str">
        <x:v>LIMPIEZA</x:v>
      </x:c>
      <x:c r="C135" s="7" t="n">
        <x:v>18</x:v>
      </x:c>
      <x:c r="D135" s="7" t="n">
        <x:v>19.44</x:v>
      </x:c>
      <x:c r="E135" s="8" t="n">
        <x:f>IF(C135=0,"",ABS((D135-C135)/C135))</x:f>
        <x:v>0.08000000000000007</x:v>
      </x:c>
    </x:row>
    <x:row r="136" ht="23" customHeight="1">
      <x:c r="A136" s="6" t="n">
        <x:v>46262</x:v>
      </x:c>
      <x:c r="B136" s="1" t="str">
        <x:v>LIMPIEZA</x:v>
      </x:c>
      <x:c r="C136" s="7" t="n">
        <x:v>14</x:v>
      </x:c>
      <x:c r="D136" s="7" t="n">
        <x:v>19.53</x:v>
      </x:c>
      <x:c r="E136" s="8" t="n">
        <x:f>IF(C136=0,"",ABS((D136-C136)/C136))</x:f>
        <x:v>0.3950000000000001</x:v>
      </x:c>
    </x:row>
    <x:row r="137" ht="23" customHeight="1">
      <x:c r="A137" s="6" t="n">
        <x:v>46263</x:v>
      </x:c>
      <x:c r="B137" s="1" t="str">
        <x:v>LIMPIEZA</x:v>
      </x:c>
      <x:c r="C137" s="7" t="n">
        <x:v>27</x:v>
      </x:c>
      <x:c r="D137" s="7" t="n">
        <x:v>18.95</x:v>
      </x:c>
      <x:c r="E137" s="8" t="n">
        <x:f>IF(C137=0,"",ABS((D137-C137)/C137))</x:f>
        <x:v>0.29814814814814816</x:v>
      </x:c>
    </x:row>
    <x:row r="138" ht="23" customHeight="1">
      <x:c r="A138" s="6" t="n">
        <x:v>46264</x:v>
      </x:c>
      <x:c r="B138" s="1" t="str">
        <x:v>LIMPIEZA</x:v>
      </x:c>
      <x:c r="C138" s="7" t="n">
        <x:v>27</x:v>
      </x:c>
      <x:c r="D138" s="7" t="n">
        <x:v>19.25</x:v>
      </x:c>
      <x:c r="E138" s="8" t="n">
        <x:f>IF(C138=0,"",ABS((D138-C138)/C138))</x:f>
        <x:v>0.28703703703703703</x:v>
      </x:c>
    </x:row>
    <x:row r="139" ht="23" customHeight="1">
      <x:c r="A139" s="6" t="n">
        <x:v>46265</x:v>
      </x:c>
      <x:c r="B139" s="1" t="str">
        <x:v>LIMPIEZA</x:v>
      </x:c>
      <x:c r="C139" s="7" t="n">
        <x:v>9</x:v>
      </x:c>
      <x:c r="D139" s="7" t="n">
        <x:v>18.74</x:v>
      </x:c>
      <x:c r="E139" s="8" t="n">
        <x:f>IF(C139=0,"",ABS((D139-C139)/C139))</x:f>
        <x:v>1.082222222222222</x:v>
      </x:c>
    </x:row>
    <x:row r="140" ht="23" customHeight="1">
      <x:c r="A140" s="6" t="n">
        <x:v>46266</x:v>
      </x:c>
      <x:c r="B140" s="1" t="str">
        <x:v>LIMPIEZA</x:v>
      </x:c>
      <x:c r="C140" s="7" t="n">
        <x:v>17</x:v>
      </x:c>
      <x:c r="D140" s="7" t="n">
        <x:v>19.34</x:v>
      </x:c>
      <x:c r="E140" s="8" t="n">
        <x:f>IF(C140=0,"",ABS((D140-C140)/C140))</x:f>
        <x:v>0.1376470588235294</x:v>
      </x:c>
    </x:row>
    <x:row r="141" ht="23" customHeight="1">
      <x:c r="A141" s="6" t="n">
        <x:v>46267</x:v>
      </x:c>
      <x:c r="B141" s="1" t="str">
        <x:v>LIMPIEZA</x:v>
      </x:c>
      <x:c r="C141" s="7" t="n">
        <x:v>14</x:v>
      </x:c>
      <x:c r="D141" s="7" t="n">
        <x:v>19.66</x:v>
      </x:c>
      <x:c r="E141" s="8" t="n">
        <x:f>IF(C141=0,"",ABS((D141-C141)/C141))</x:f>
        <x:v>0.4042857142857143</x:v>
      </x:c>
    </x:row>
    <x:row r="142" ht="23" customHeight="1">
      <x:c r="A142" s="6" t="n">
        <x:v>46268</x:v>
      </x:c>
      <x:c r="B142" s="1" t="str">
        <x:v>LIMPIEZA</x:v>
      </x:c>
      <x:c r="C142" s="7" t="n">
        <x:v>20</x:v>
      </x:c>
      <x:c r="D142" s="7" t="n">
        <x:v>19.52</x:v>
      </x:c>
      <x:c r="E142" s="8" t="n">
        <x:f>IF(C142=0,"",ABS((D142-C142)/C142))</x:f>
        <x:v>0.02400000000000002</x:v>
      </x:c>
    </x:row>
    <x:row r="143" ht="23" customHeight="1">
      <x:c r="A143" s="6" t="n">
        <x:v>46269</x:v>
      </x:c>
      <x:c r="B143" s="1" t="str">
        <x:v>LIMPIEZA</x:v>
      </x:c>
      <x:c r="C143" s="7" t="n">
        <x:v>19</x:v>
      </x:c>
      <x:c r="D143" s="7" t="n">
        <x:v>19.23</x:v>
      </x:c>
      <x:c r="E143" s="8" t="n">
        <x:f>IF(C143=0,"",ABS((D143-C143)/C143))</x:f>
        <x:v>0.01210526315789476</x:v>
      </x:c>
    </x:row>
    <x:row r="144" ht="23" customHeight="1">
      <x:c r="A144" s="6" t="n">
        <x:v>46270</x:v>
      </x:c>
      <x:c r="B144" s="1" t="str">
        <x:v>LIMPIEZA</x:v>
      </x:c>
      <x:c r="C144" s="7" t="n">
        <x:v>18</x:v>
      </x:c>
      <x:c r="D144" s="7" t="n">
        <x:v>19.08</x:v>
      </x:c>
      <x:c r="E144" s="8" t="n">
        <x:f>IF(C144=0,"",ABS((D144-C144)/C144))</x:f>
        <x:v>0.05999999999999991</x:v>
      </x:c>
    </x:row>
    <x:row r="145" ht="23" customHeight="1">
      <x:c r="A145" s="6" t="n">
        <x:v>46271</x:v>
      </x:c>
      <x:c r="B145" s="1" t="str">
        <x:v>LIMPIEZA</x:v>
      </x:c>
      <x:c r="C145" s="7" t="n">
        <x:v>10</x:v>
      </x:c>
      <x:c r="D145" s="7" t="n">
        <x:v>19.25</x:v>
      </x:c>
      <x:c r="E145" s="8" t="n">
        <x:f>IF(C145=0,"",ABS((D145-C145)/C145))</x:f>
        <x:v>0.925</x:v>
      </x:c>
    </x:row>
    <x:row r="146" ht="23" customHeight="1">
      <x:c r="A146" s="6" t="n">
        <x:v>46272</x:v>
      </x:c>
      <x:c r="B146" s="1" t="str">
        <x:v>LIMPIEZA</x:v>
      </x:c>
      <x:c r="C146" s="7" t="n">
        <x:v>20</x:v>
      </x:c>
      <x:c r="D146" s="7" t="n">
        <x:v>18.56</x:v>
      </x:c>
      <x:c r="E146" s="8" t="n">
        <x:f>IF(C146=0,"",ABS((D146-C146)/C146))</x:f>
        <x:v>0.07200000000000006</x:v>
      </x:c>
    </x:row>
    <x:row r="147" ht="23" customHeight="1">
      <x:c r="A147" s="6" t="n">
        <x:v>46273</x:v>
      </x:c>
      <x:c r="B147" s="1" t="str">
        <x:v>LIMPIEZA</x:v>
      </x:c>
      <x:c r="C147" s="7" t="n">
        <x:v>14</x:v>
      </x:c>
      <x:c r="D147" s="7" t="n">
        <x:v>19.27</x:v>
      </x:c>
      <x:c r="E147" s="8" t="n">
        <x:f>IF(C147=0,"",ABS((D147-C147)/C147))</x:f>
        <x:v>0.3764285714285714</x:v>
      </x:c>
    </x:row>
    <x:row r="148" ht="23" customHeight="1">
      <x:c r="A148" s="6" t="n">
        <x:v>46274</x:v>
      </x:c>
      <x:c r="B148" s="1" t="str">
        <x:v>LIMPIEZA</x:v>
      </x:c>
      <x:c r="C148" s="7" t="n">
        <x:v>13</x:v>
      </x:c>
      <x:c r="D148" s="7" t="n">
        <x:v>19.66</x:v>
      </x:c>
      <x:c r="E148" s="8" t="n">
        <x:f>IF(C148=0,"",ABS((D148-C148)/C148))</x:f>
        <x:v>0.5123076923076924</x:v>
      </x:c>
    </x:row>
    <x:row r="149" ht="23" customHeight="1">
      <x:c r="A149" s="6" t="n">
        <x:v>46275</x:v>
      </x:c>
      <x:c r="B149" s="1" t="str">
        <x:v>LIMPIEZA</x:v>
      </x:c>
      <x:c r="C149" s="7" t="n">
        <x:v>11</x:v>
      </x:c>
      <x:c r="D149" s="7" t="n">
        <x:v>19.05</x:v>
      </x:c>
      <x:c r="E149" s="8" t="n">
        <x:f>IF(C149=0,"",ABS((D149-C149)/C149))</x:f>
        <x:v>0.7318181818181819</x:v>
      </x:c>
    </x:row>
    <x:row r="150" ht="23" customHeight="1">
      <x:c r="A150" s="6" t="n">
        <x:v>46276</x:v>
      </x:c>
      <x:c r="B150" s="1" t="str">
        <x:v>LIMPIEZA</x:v>
      </x:c>
      <x:c r="C150" s="7" t="n">
        <x:v>10</x:v>
      </x:c>
      <x:c r="D150" s="7" t="n">
        <x:v>19.35</x:v>
      </x:c>
      <x:c r="E150" s="8" t="n">
        <x:f>IF(C150=0,"",ABS((D150-C150)/C150))</x:f>
        <x:v>0.9350000000000002</x:v>
      </x:c>
    </x:row>
    <x:row r="151" ht="23" customHeight="1">
      <x:c r="A151" s="6" t="n">
        <x:v>46277</x:v>
      </x:c>
      <x:c r="B151" s="1" t="str">
        <x:v>LIMPIEZA</x:v>
      </x:c>
      <x:c r="C151" s="7" t="n">
        <x:v>16</x:v>
      </x:c>
      <x:c r="D151" s="7" t="n">
        <x:v>19.14</x:v>
      </x:c>
      <x:c r="E151" s="8" t="n">
        <x:f>IF(C151=0,"",ABS((D151-C151)/C151))</x:f>
        <x:v>0.19625000000000004</x:v>
      </x:c>
    </x:row>
    <x:row r="152" ht="23" customHeight="1">
      <x:c r="A152" s="6" t="n">
        <x:v>46278</x:v>
      </x:c>
      <x:c r="B152" s="1" t="str">
        <x:v>LIMPIEZA</x:v>
      </x:c>
      <x:c r="C152" s="7" t="n">
        <x:v>8</x:v>
      </x:c>
      <x:c r="D152" s="7" t="n">
        <x:v>19.31</x:v>
      </x:c>
      <x:c r="E152" s="8" t="n">
        <x:f>IF(C152=0,"",ABS((D152-C152)/C152))</x:f>
        <x:v>1.4137499999999998</x:v>
      </x:c>
    </x:row>
    <x:row r="153" ht="23" customHeight="1">
      <x:c r="A153" s="6" t="n">
        <x:v>46279</x:v>
      </x:c>
      <x:c r="B153" s="1" t="str">
        <x:v>LIMPIEZA</x:v>
      </x:c>
      <x:c r="C153" s="7" t="n">
        <x:v>14</x:v>
      </x:c>
      <x:c r="D153" s="7" t="n">
        <x:v>19.15</x:v>
      </x:c>
      <x:c r="E153" s="8" t="n">
        <x:f>IF(C153=0,"",ABS((D153-C153)/C153))</x:f>
        <x:v>0.36785714285714277</x:v>
      </x:c>
    </x:row>
    <x:row r="154" ht="23" customHeight="1">
      <x:c r="A154" s="6" t="n">
        <x:v>46280</x:v>
      </x:c>
      <x:c r="B154" s="1" t="str">
        <x:v>LIMPIEZA</x:v>
      </x:c>
      <x:c r="C154" s="7" t="n">
        <x:v>16</x:v>
      </x:c>
      <x:c r="D154" s="7" t="n">
        <x:v>19.25</x:v>
      </x:c>
      <x:c r="E154" s="8" t="n">
        <x:f>IF(C154=0,"",ABS((D154-C154)/C154))</x:f>
        <x:v>0.203125</x:v>
      </x:c>
    </x:row>
    <x:row r="155" ht="23" customHeight="1">
      <x:c r="A155" s="1"/>
      <x:c r="B155" s="1"/>
      <x:c r="C155" s="1"/>
      <x:c r="D155" s="1"/>
      <x:c r="E155" s="1"/>
    </x:row>
  </x:sheetData>
  <x:mergeCells>
    <x:mergeCell ref="A1:E1"/>
    <x:mergeCell ref="A2:E2"/>
  </x:mergeCells>
  <x:pageMargins left="0.7" right="0.7" top="0.75" bottom="0.75" header="0.3" footer="0.3"/>
</x:worksheet>
</file>